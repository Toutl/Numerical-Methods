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n(x+1)" sheetId="1" state="visible" r:id="rId3"/>
    <sheet name="cos(x)" sheetId="2" state="visible" r:id="rId4"/>
    <sheet name="sin(x)" sheetId="3" state="visible" r:id="rId5"/>
    <sheet name="e^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<sst xmlns="http://schemas.openxmlformats.org/spreadsheetml/2006/main" count="44" uniqueCount="14">
  <si>
    <t xml:space="preserve">ln(x + 1)</t>
  </si>
  <si>
    <t xml:space="preserve">i</t>
  </si>
  <si>
    <t xml:space="preserve">Término</t>
  </si>
  <si>
    <t xml:space="preserve">Sustitución</t>
  </si>
  <si>
    <t xml:space="preserve">Evaluación</t>
  </si>
  <si>
    <t xml:space="preserve">Suma</t>
  </si>
  <si>
    <t xml:space="preserve">Error</t>
  </si>
  <si>
    <t xml:space="preserve">% de error</t>
  </si>
  <si>
    <t xml:space="preserve">C.S.</t>
  </si>
  <si>
    <t xml:space="preserve">x</t>
  </si>
  <si>
    <t xml:space="preserve">f(x)</t>
  </si>
  <si>
    <t xml:space="preserve">cos(x)</t>
  </si>
  <si>
    <t xml:space="preserve">sin(x)</t>
  </si>
  <si>
    <t xml:space="preserve">e^x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</si>
</sst>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entury Gothic"/>
      <family val="0"/>
      <charset val="1"/>
    </font>
    <font>
      <b val="true"/>
      <sz val="14"/>
      <color theme="1"/>
      <name val="Century Gothic"/>
      <family val="0"/>
      <charset val="1"/>
    </font>
    <font>
      <b val="true"/>
      <sz val="11"/>
      <color theme="1"/>
      <name val="Century Gothic"/>
      <family val="0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CB6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6C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CB66"/>
    <pageSetUpPr fitToPage="false"/>
  </sheetPr>
  <dimension ref="B2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6.5" zeroHeight="false" outlineLevelRow="0" outlineLevelCol="0"/>
  <cols>
    <col collapsed="false" customWidth="true" hidden="false" outlineLevel="0" max="2" min="1" style="1" width="5.71"/>
    <col collapsed="false" customWidth="true" hidden="false" outlineLevel="0" max="3" min="3" style="1" width="30.7"/>
    <col collapsed="false" customWidth="true" hidden="false" outlineLevel="0" max="4" min="4" style="1" width="37.71"/>
    <col collapsed="false" customWidth="true" hidden="false" outlineLevel="0" max="8" min="5" style="1" width="14.7"/>
    <col collapsed="false" customWidth="true" hidden="false" outlineLevel="0" max="10" min="9" style="1" width="5.71"/>
    <col collapsed="false" customWidth="true" hidden="false" outlineLevel="0" max="12" min="11" style="1" width="12.72"/>
    <col collapsed="false" customWidth="false" hidden="false" outlineLevel="0" max="16384" min="13" style="1" width="9.14"/>
  </cols>
  <sheetData>
    <row r="2" customFormat="false" ht="24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="3" customFormat="true" ht="16.5" hidden="false" customHeight="false" outlineLevel="0" collapsed="false">
      <c r="B3" s="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8" t="s">
        <v>7</v>
      </c>
      <c r="J3" s="9" t="s">
        <v>8</v>
      </c>
      <c r="K3" s="10" t="s">
        <v>9</v>
      </c>
      <c r="L3" s="11" t="s">
        <v>10</v>
      </c>
    </row>
    <row r="4" customFormat="false" ht="16.5" hidden="false" customHeight="false" outlineLevel="0" collapsed="false">
      <c r="B4" s="12" t="n">
        <v>1</v>
      </c>
      <c r="C4" s="13" t="str">
        <f aca="false">"(-1)^(" &amp; B4 &amp; "-1) * (x^" &amp; B4 &amp; "/" &amp; B4 &amp; ")"</f>
        <v>(-1)^(1-1) * (x^1/1)</v>
      </c>
      <c r="D4" s="3" t="str">
        <f aca="false">"(-1)^(" &amp; B4 &amp; "-1) * (" &amp; $K$4 &amp; "^" &amp; B4 &amp; "/" &amp; B4 &amp; ")"</f>
        <v>(-1)^(1-1) * (0.7621^1/1)</v>
      </c>
      <c r="E4" s="14" t="n">
        <f aca="false">ROUND((-1)^(B4-1) * ($K$4^B4 / B4), $J$4)</f>
        <v>0.7621</v>
      </c>
      <c r="F4" s="14" t="n">
        <f aca="false">E4</f>
        <v>0.7621</v>
      </c>
      <c r="G4" s="14" t="n">
        <f aca="false">ABS(F4-$L$4)</f>
        <v>0.195593720407452</v>
      </c>
      <c r="H4" s="15" t="n">
        <f aca="false">ABS((F4-$L$4) / $L$4) * 100</f>
        <v>34.526311084871</v>
      </c>
      <c r="J4" s="16" t="n">
        <v>4</v>
      </c>
      <c r="K4" s="17" t="n">
        <v>0.7621</v>
      </c>
      <c r="L4" s="18" t="n">
        <f aca="false">LN(1+K4)</f>
        <v>0.566506279592548</v>
      </c>
    </row>
    <row r="5" customFormat="false" ht="16.5" hidden="false" customHeight="false" outlineLevel="0" collapsed="false">
      <c r="B5" s="12" t="n">
        <v>2</v>
      </c>
      <c r="C5" s="13" t="str">
        <f aca="false">"(-1)^(" &amp; B5 &amp; "-1) * (x^" &amp; B5 &amp; "/" &amp; B5 &amp; ")"</f>
        <v>(-1)^(2-1) * (x^2/2)</v>
      </c>
      <c r="D5" s="3" t="str">
        <f aca="false">"(-1)^(" &amp; B5 &amp; "-1) * (" &amp; $K$4 &amp; "^" &amp; B5 &amp; "/" &amp; B5 &amp; ")"</f>
        <v>(-1)^(2-1) * (0.7621^2/2)</v>
      </c>
      <c r="E5" s="14" t="n">
        <f aca="false">ROUND((-1)^(B5-1) * ($K$4^B5 / B5), $J$4)</f>
        <v>-0.2904</v>
      </c>
      <c r="F5" s="14" t="n">
        <f aca="false">E5+F4</f>
        <v>0.4717</v>
      </c>
      <c r="G5" s="14" t="n">
        <f aca="false">ABS(F5-$L$4)</f>
        <v>0.0948062795925478</v>
      </c>
      <c r="H5" s="15" t="n">
        <f aca="false">ABS((F5-$L$4) / $L$4) * 100</f>
        <v>16.7352566084062</v>
      </c>
    </row>
    <row r="6" customFormat="false" ht="16.5" hidden="false" customHeight="false" outlineLevel="0" collapsed="false">
      <c r="B6" s="12" t="n">
        <v>3</v>
      </c>
      <c r="C6" s="13" t="str">
        <f aca="false">"(-1)^(" &amp; B6 &amp; "-1) * (x^" &amp; B6 &amp; "/" &amp; B6 &amp; ")"</f>
        <v>(-1)^(3-1) * (x^3/3)</v>
      </c>
      <c r="D6" s="3" t="str">
        <f aca="false">"(-1)^(" &amp; B6 &amp; "-1) * (" &amp; $K$4 &amp; "^" &amp; B6 &amp; "/" &amp; B6 &amp; ")"</f>
        <v>(-1)^(3-1) * (0.7621^3/3)</v>
      </c>
      <c r="E6" s="14" t="n">
        <f aca="false">ROUND((-1)^(B6-1) * ($K$4^B6 / B6), $J$4)</f>
        <v>0.1475</v>
      </c>
      <c r="F6" s="14" t="n">
        <f aca="false">E6+F5</f>
        <v>0.6192</v>
      </c>
      <c r="G6" s="14" t="n">
        <f aca="false">ABS(F6-$L$4)</f>
        <v>0.0526937204074521</v>
      </c>
      <c r="H6" s="15" t="n">
        <f aca="false">ABS((F6-$L$4) / $L$4) * 100</f>
        <v>9.30152450302076</v>
      </c>
    </row>
    <row r="7" customFormat="false" ht="16.5" hidden="false" customHeight="false" outlineLevel="0" collapsed="false">
      <c r="B7" s="12" t="n">
        <v>4</v>
      </c>
      <c r="C7" s="13" t="str">
        <f aca="false">"(-1)^(" &amp; B7 &amp; "-1) * (x^" &amp; B7 &amp; "/" &amp; B7 &amp; ")"</f>
        <v>(-1)^(4-1) * (x^4/4)</v>
      </c>
      <c r="D7" s="3" t="str">
        <f aca="false">"(-1)^(" &amp; B7 &amp; "-1) * (" &amp; $K$4 &amp; "^" &amp; B7 &amp; "/" &amp; B7 &amp; ")"</f>
        <v>(-1)^(4-1) * (0.7621^4/4)</v>
      </c>
      <c r="E7" s="14" t="n">
        <f aca="false">ROUND((-1)^(B7-1) * ($K$4^B7 / B7), $J$4)</f>
        <v>-0.0843</v>
      </c>
      <c r="F7" s="14" t="n">
        <f aca="false">E7+F6</f>
        <v>0.5349</v>
      </c>
      <c r="G7" s="14" t="n">
        <f aca="false">ABS(F7-$L$4)</f>
        <v>0.0316062795925479</v>
      </c>
      <c r="H7" s="15" t="n">
        <f aca="false">ABS((F7-$L$4) / $L$4) * 100</f>
        <v>5.5791578542219</v>
      </c>
    </row>
    <row r="8" customFormat="false" ht="16.5" hidden="false" customHeight="false" outlineLevel="0" collapsed="false">
      <c r="B8" s="12" t="n">
        <v>5</v>
      </c>
      <c r="C8" s="13" t="str">
        <f aca="false">"(-1)^(" &amp; B8 &amp; "-1) * (x^" &amp; B8 &amp; "/" &amp; B8 &amp; ")"</f>
        <v>(-1)^(5-1) * (x^5/5)</v>
      </c>
      <c r="D8" s="3" t="str">
        <f aca="false">"(-1)^(" &amp; B8 &amp; "-1) * (" &amp; $K$4 &amp; "^" &amp; B8 &amp; "/" &amp; B8 &amp; ")"</f>
        <v>(-1)^(5-1) * (0.7621^5/5)</v>
      </c>
      <c r="E8" s="14" t="n">
        <f aca="false">ROUND((-1)^(B8-1) * ($K$4^B8 / B8), $J$4)</f>
        <v>0.0514</v>
      </c>
      <c r="F8" s="14" t="n">
        <f aca="false">E8+F7</f>
        <v>0.5863</v>
      </c>
      <c r="G8" s="14" t="n">
        <f aca="false">ABS(F8-$L$4)</f>
        <v>0.0197937204074521</v>
      </c>
      <c r="H8" s="15" t="n">
        <f aca="false">ABS((F8-$L$4) / $L$4) * 100</f>
        <v>3.49399841104823</v>
      </c>
    </row>
    <row r="9" customFormat="false" ht="16.5" hidden="false" customHeight="false" outlineLevel="0" collapsed="false">
      <c r="B9" s="19" t="n">
        <v>6</v>
      </c>
      <c r="C9" s="20" t="str">
        <f aca="false">"(-1)^(" &amp; B9 &amp; "-1) * (x^" &amp; B9 &amp; "/" &amp; B9 &amp; ")"</f>
        <v>(-1)^(6-1) * (x^6/6)</v>
      </c>
      <c r="D9" s="21" t="str">
        <f aca="false">"(-1)^(" &amp; B9 &amp; "-1) * (" &amp; $K$4 &amp; "^" &amp; B9 &amp; "/" &amp; B9 &amp; ")"</f>
        <v>(-1)^(6-1) * (0.7621^6/6)</v>
      </c>
      <c r="E9" s="17" t="n">
        <f aca="false">ROUND((-1)^(B9-1) * ($K$4^B9 / B9), $J$4)</f>
        <v>-0.0327</v>
      </c>
      <c r="F9" s="17" t="n">
        <f aca="false">E9+F8</f>
        <v>0.5536</v>
      </c>
      <c r="G9" s="17" t="n">
        <f aca="false">ABS(F9-$L$4)</f>
        <v>0.0129062795925479</v>
      </c>
      <c r="H9" s="18" t="n">
        <f aca="false">ABS((F9-$L$4) / $L$4) * 100</f>
        <v>2.27822357094268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C6C4"/>
    <pageSetUpPr fitToPage="false"/>
  </sheetPr>
  <dimension ref="B2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6.5" zeroHeight="false" outlineLevelRow="0" outlineLevelCol="0"/>
  <cols>
    <col collapsed="false" customWidth="true" hidden="false" outlineLevel="0" max="2" min="1" style="1" width="5.71"/>
    <col collapsed="false" customWidth="true" hidden="false" outlineLevel="0" max="3" min="3" style="1" width="30.7"/>
    <col collapsed="false" customWidth="true" hidden="false" outlineLevel="0" max="4" min="4" style="1" width="37.71"/>
    <col collapsed="false" customWidth="true" hidden="false" outlineLevel="0" max="8" min="5" style="1" width="14.7"/>
    <col collapsed="false" customWidth="true" hidden="false" outlineLevel="0" max="10" min="9" style="1" width="5.71"/>
    <col collapsed="false" customWidth="true" hidden="false" outlineLevel="0" max="12" min="11" style="1" width="12.72"/>
    <col collapsed="false" customWidth="false" hidden="false" outlineLevel="0" max="16384" min="13" style="1" width="9.14"/>
  </cols>
  <sheetData>
    <row r="2" customFormat="false" ht="24.75" hidden="false" customHeight="true" outlineLevel="0" collapsed="false">
      <c r="B2" s="2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="3" customFormat="true" ht="16.5" hidden="false" customHeight="false" outlineLevel="0" collapsed="false">
      <c r="B3" s="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8" t="s">
        <v>7</v>
      </c>
      <c r="J3" s="9" t="s">
        <v>8</v>
      </c>
      <c r="K3" s="10" t="s">
        <v>9</v>
      </c>
      <c r="L3" s="11" t="s">
        <v>10</v>
      </c>
    </row>
    <row r="4" customFormat="false" ht="16.5" hidden="false" customHeight="false" outlineLevel="0" collapsed="false">
      <c r="B4" s="12" t="n">
        <v>0</v>
      </c>
      <c r="C4" s="13" t="str">
        <f aca="false">"(-1)^" &amp; B4 &amp; " * (x^(2*" &amp; B4 &amp; ") / (2*" &amp; B4 &amp; ")!)"</f>
        <v>(-1)^0 * (x^(2*0) / (2*0)!)</v>
      </c>
      <c r="D4" s="3" t="str">
        <f aca="false">"(-1)^" &amp; B4 &amp; " * (" &amp; $K$4 &amp; "^(2*" &amp; B4 &amp; ") / (2*" &amp; B4 &amp; ")!)"</f>
        <v>(-1)^0 * (0.7621^(2*0) / (2*0)!)</v>
      </c>
      <c r="E4" s="14" t="n">
        <f aca="false">ROUND((-1)^B4 * ($K$4^(2*B4) / FACT(2*B4)), $J$4)</f>
        <v>1</v>
      </c>
      <c r="F4" s="14" t="n">
        <f aca="false">E4</f>
        <v>1</v>
      </c>
      <c r="G4" s="14" t="n">
        <f aca="false">ABS(F4-$L$4)</f>
        <v>0.276612321493293</v>
      </c>
      <c r="H4" s="15" t="n">
        <f aca="false">ABS((F4-$L$4) / $L$4) * 100</f>
        <v>38.2384618527517</v>
      </c>
      <c r="J4" s="16" t="n">
        <v>6</v>
      </c>
      <c r="K4" s="17" t="n">
        <v>0.7621</v>
      </c>
      <c r="L4" s="18" t="n">
        <f aca="false">COS(K4)</f>
        <v>0.723387678506707</v>
      </c>
    </row>
    <row r="5" customFormat="false" ht="16.5" hidden="false" customHeight="false" outlineLevel="0" collapsed="false">
      <c r="B5" s="12" t="n">
        <v>1</v>
      </c>
      <c r="C5" s="13" t="str">
        <f aca="false">"(-1)^" &amp; B5 &amp; " * (x^(2*" &amp; B5 &amp; ") / (2*" &amp; B5 &amp; ")!)"</f>
        <v>(-1)^1 * (x^(2*1) / (2*1)!)</v>
      </c>
      <c r="D5" s="3" t="str">
        <f aca="false">"(-1)^" &amp; B5 &amp; " * (" &amp; $K$4 &amp; "^(2*" &amp; B5 &amp; ") / (2*" &amp; B5 &amp; ")!)"</f>
        <v>(-1)^1 * (0.7621^(2*1) / (2*1)!)</v>
      </c>
      <c r="E5" s="14" t="n">
        <f aca="false">ROUND((-1)^B5 * ($K$4^(2*B5) / FACT(2*B5)), $J$4)</f>
        <v>-0.290398</v>
      </c>
      <c r="F5" s="14" t="n">
        <f aca="false">E5+F4</f>
        <v>0.709602</v>
      </c>
      <c r="G5" s="14" t="n">
        <f aca="false">ABS(F5-$L$4)</f>
        <v>0.0137856785067066</v>
      </c>
      <c r="H5" s="15" t="n">
        <f aca="false">ABS((F5-$L$4) / $L$4) * 100</f>
        <v>1.90571099236367</v>
      </c>
    </row>
    <row r="6" customFormat="false" ht="16.5" hidden="false" customHeight="false" outlineLevel="0" collapsed="false">
      <c r="B6" s="12" t="n">
        <v>2</v>
      </c>
      <c r="C6" s="13" t="str">
        <f aca="false">"(-1)^" &amp; B6 &amp; " * (x^(2*" &amp; B6 &amp; ") / (2*" &amp; B6 &amp; ")!)"</f>
        <v>(-1)^2 * (x^(2*2) / (2*2)!)</v>
      </c>
      <c r="D6" s="3" t="str">
        <f aca="false">"(-1)^" &amp; B6 &amp; " * (" &amp; $K$4 &amp; "^(2*" &amp; B6 &amp; ") / (2*" &amp; B6 &amp; ")!)"</f>
        <v>(-1)^2 * (0.7621^(2*2) / (2*2)!)</v>
      </c>
      <c r="E6" s="14" t="n">
        <f aca="false">ROUND((-1)^B6 * ($K$4^(2*B6) / FACT(2*B6)), $J$4)</f>
        <v>0.014055</v>
      </c>
      <c r="F6" s="14" t="n">
        <f aca="false">E6+F5</f>
        <v>0.723657</v>
      </c>
      <c r="G6" s="14" t="n">
        <f aca="false">ABS(F6-$L$4)</f>
        <v>0.000269321493293395</v>
      </c>
      <c r="H6" s="15" t="n">
        <f aca="false">ABS((F6-$L$4) / $L$4) * 100</f>
        <v>0.0372305889767651</v>
      </c>
    </row>
    <row r="7" customFormat="false" ht="16.5" hidden="false" customHeight="false" outlineLevel="0" collapsed="false">
      <c r="B7" s="12" t="n">
        <v>3</v>
      </c>
      <c r="C7" s="13" t="str">
        <f aca="false">"(-1)^" &amp; B7 &amp; " * (x^(2*" &amp; B7 &amp; ") / (2*" &amp; B7 &amp; ")!)"</f>
        <v>(-1)^3 * (x^(2*3) / (2*3)!)</v>
      </c>
      <c r="D7" s="3" t="str">
        <f aca="false">"(-1)^" &amp; B7 &amp; " * (" &amp; $K$4 &amp; "^(2*" &amp; B7 &amp; ") / (2*" &amp; B7 &amp; ")!)"</f>
        <v>(-1)^3 * (0.7621^(2*3) / (2*3)!)</v>
      </c>
      <c r="E7" s="14" t="n">
        <f aca="false">ROUND((-1)^B7 * ($K$4^(2*B7) / FACT(2*B7)), $J$4)</f>
        <v>-0.000272</v>
      </c>
      <c r="F7" s="14" t="n">
        <f aca="false">E7+F6</f>
        <v>0.723385</v>
      </c>
      <c r="G7" s="14" t="n">
        <f aca="false">ABS(F7-$L$4)</f>
        <v>2.67850670665482E-006</v>
      </c>
      <c r="H7" s="15" t="n">
        <f aca="false">ABS((F7-$L$4) / $L$4) * 100</f>
        <v>0.000370272647190241</v>
      </c>
    </row>
    <row r="8" customFormat="false" ht="16.5" hidden="false" customHeight="false" outlineLevel="0" collapsed="false">
      <c r="B8" s="12" t="n">
        <v>4</v>
      </c>
      <c r="C8" s="13" t="str">
        <f aca="false">"(-1)^" &amp; B8 &amp; " * (x^(2*" &amp; B8 &amp; ") / (2*" &amp; B8 &amp; ")!)"</f>
        <v>(-1)^4 * (x^(2*4) / (2*4)!)</v>
      </c>
      <c r="D8" s="3" t="str">
        <f aca="false">"(-1)^" &amp; B8 &amp; " * (" &amp; $K$4 &amp; "^(2*" &amp; B8 &amp; ") / (2*" &amp; B8 &amp; ")!)"</f>
        <v>(-1)^4 * (0.7621^(2*4) / (2*4)!)</v>
      </c>
      <c r="E8" s="14" t="n">
        <f aca="false">ROUND((-1)^B8 * ($K$4^(2*B8) / FACT(2*B8)), $J$4)</f>
        <v>3E-006</v>
      </c>
      <c r="F8" s="14" t="n">
        <f aca="false">E8+F7</f>
        <v>0.723388</v>
      </c>
      <c r="G8" s="14" t="n">
        <f aca="false">ABS(F8-$L$4)</f>
        <v>3.2149329332043E-007</v>
      </c>
      <c r="H8" s="15" t="n">
        <f aca="false">ABS((F8-$L$4) / $L$4) * 100</f>
        <v>4.44427383645917E-005</v>
      </c>
    </row>
    <row r="9" customFormat="false" ht="16.5" hidden="false" customHeight="false" outlineLevel="0" collapsed="false">
      <c r="B9" s="19" t="n">
        <v>5</v>
      </c>
      <c r="C9" s="20" t="str">
        <f aca="false">"(-1)^" &amp; B9 &amp; " * (x^(2*" &amp; B9 &amp; ") / (2*" &amp; B9 &amp; ")!)"</f>
        <v>(-1)^5 * (x^(2*5) / (2*5)!)</v>
      </c>
      <c r="D9" s="21" t="str">
        <f aca="false">"(-1)^" &amp; B9 &amp; " * (" &amp; $K$4 &amp; "^(2*" &amp; B9 &amp; ") / (2*" &amp; B9 &amp; ")!)"</f>
        <v>(-1)^5 * (0.7621^(2*5) / (2*5)!)</v>
      </c>
      <c r="E9" s="17" t="n">
        <f aca="false">ROUND((-1)^B9 * ($K$4^(2*B9) / FACT(2*B9)), $J$4)</f>
        <v>-0</v>
      </c>
      <c r="F9" s="17" t="n">
        <f aca="false">E9+F8</f>
        <v>0.723388</v>
      </c>
      <c r="G9" s="17" t="n">
        <f aca="false">ABS(F9-$L$4)</f>
        <v>3.2149329332043E-007</v>
      </c>
      <c r="H9" s="18" t="n">
        <f aca="false">ABS((F9-$L$4) / $L$4) * 100</f>
        <v>4.44427383645917E-005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C6C4"/>
    <pageSetUpPr fitToPage="false"/>
  </sheetPr>
  <dimension ref="B2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6.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3" width="5.71"/>
    <col collapsed="false" customWidth="true" hidden="false" outlineLevel="0" max="3" min="3" style="3" width="30.7"/>
    <col collapsed="false" customWidth="true" hidden="false" outlineLevel="0" max="4" min="4" style="3" width="37.71"/>
    <col collapsed="false" customWidth="true" hidden="false" outlineLevel="0" max="8" min="5" style="1" width="14.7"/>
    <col collapsed="false" customWidth="true" hidden="false" outlineLevel="0" max="10" min="9" style="1" width="5.71"/>
    <col collapsed="false" customWidth="true" hidden="false" outlineLevel="0" max="12" min="11" style="1" width="12.72"/>
    <col collapsed="false" customWidth="false" hidden="false" outlineLevel="0" max="16384" min="13" style="1" width="9.14"/>
  </cols>
  <sheetData>
    <row r="2" customFormat="false" ht="24.75" hidden="false" customHeight="true" outlineLevel="0" collapsed="false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="3" customFormat="true" ht="16.5" hidden="false" customHeight="false" outlineLevel="0" collapsed="false">
      <c r="B3" s="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8" t="s">
        <v>7</v>
      </c>
      <c r="J3" s="9" t="s">
        <v>8</v>
      </c>
      <c r="K3" s="10" t="s">
        <v>9</v>
      </c>
      <c r="L3" s="11" t="s">
        <v>10</v>
      </c>
    </row>
    <row r="4" customFormat="false" ht="16.5" hidden="false" customHeight="false" outlineLevel="0" collapsed="false">
      <c r="B4" s="12" t="n">
        <v>0</v>
      </c>
      <c r="C4" s="13" t="str">
        <f aca="false">"(-1)^" &amp; B4 &amp; " * (x^(2*" &amp; B4 &amp; "+1) / (2*" &amp; B4 &amp; "+1)!)"</f>
        <v>(-1)^0 * (x^(2*0+1) / (2*0+1)!)</v>
      </c>
      <c r="D4" s="3" t="str">
        <f aca="false">"(-1)^" &amp; B4 &amp; " * (" &amp; $K$4 &amp; "^(2*" &amp; B4 &amp; "+1) / (2*" &amp; B4 &amp; "+1)!)"</f>
        <v>(-1)^0 * (0.7621^(2*0+1) / (2*0+1)!)</v>
      </c>
      <c r="E4" s="14" t="n">
        <f aca="false">ROUND((-1)^B4 * ($K$4^(2*B4+1) / FACT(2*B4+1)), $J$4)</f>
        <v>0.7621</v>
      </c>
      <c r="F4" s="14" t="n">
        <f aca="false">E4</f>
        <v>0.7621</v>
      </c>
      <c r="G4" s="14" t="n">
        <f aca="false">ABS(F4-$L$4)</f>
        <v>0.0716579194569051</v>
      </c>
      <c r="H4" s="15" t="n">
        <f aca="false">ABS((F4-$L$4) / $L$4) * 100</f>
        <v>10.3785562143808</v>
      </c>
      <c r="J4" s="16" t="n">
        <v>6</v>
      </c>
      <c r="K4" s="17" t="n">
        <v>0.7621</v>
      </c>
      <c r="L4" s="18" t="n">
        <f aca="false">SIN(K4)</f>
        <v>0.690442080543095</v>
      </c>
    </row>
    <row r="5" customFormat="false" ht="16.5" hidden="false" customHeight="false" outlineLevel="0" collapsed="false">
      <c r="B5" s="12" t="n">
        <v>1</v>
      </c>
      <c r="C5" s="13" t="str">
        <f aca="false">"(-1)^" &amp; B5 &amp; " * (x^(2*" &amp; B5 &amp; "+1) / (2*" &amp; B5 &amp; "+1)!)"</f>
        <v>(-1)^1 * (x^(2*1+1) / (2*1+1)!)</v>
      </c>
      <c r="D5" s="3" t="str">
        <f aca="false">"(-1)^" &amp; B5 &amp; " * (" &amp; $K$4 &amp; "^(2*" &amp; B5 &amp; "+1) / (2*" &amp; B5 &amp; "+1)!)"</f>
        <v>(-1)^1 * (0.7621^(2*1+1) / (2*1+1)!)</v>
      </c>
      <c r="E5" s="14" t="n">
        <f aca="false">ROUND((-1)^B5 * ($K$4^(2*B5+1) / FACT(2*B5+1)), $J$4)</f>
        <v>-0.073771</v>
      </c>
      <c r="F5" s="14" t="n">
        <f aca="false">E5+F4</f>
        <v>0.688329</v>
      </c>
      <c r="G5" s="14" t="n">
        <f aca="false">ABS(F5-$L$4)</f>
        <v>0.00211308054309489</v>
      </c>
      <c r="H5" s="15" t="n">
        <f aca="false">ABS((F5-$L$4) / $L$4) * 100</f>
        <v>0.306047473443792</v>
      </c>
    </row>
    <row r="6" customFormat="false" ht="16.5" hidden="false" customHeight="false" outlineLevel="0" collapsed="false">
      <c r="B6" s="12" t="n">
        <v>2</v>
      </c>
      <c r="C6" s="13" t="str">
        <f aca="false">"(-1)^" &amp; B6 &amp; " * (x^(2*" &amp; B6 &amp; "+1) / (2*" &amp; B6 &amp; "+1)!)"</f>
        <v>(-1)^2 * (x^(2*2+1) / (2*2+1)!)</v>
      </c>
      <c r="D6" s="3" t="str">
        <f aca="false">"(-1)^" &amp; B6 &amp; " * (" &amp; $K$4 &amp; "^(2*" &amp; B6 &amp; "+1) / (2*" &amp; B6 &amp; "+1)!)"</f>
        <v>(-1)^2 * (0.7621^(2*2+1) / (2*2+1)!)</v>
      </c>
      <c r="E6" s="14" t="n">
        <f aca="false">ROUND((-1)^B6 * ($K$4^(2*B6+1) / FACT(2*B6+1)), $J$4)</f>
        <v>0.002142</v>
      </c>
      <c r="F6" s="14" t="n">
        <f aca="false">E6+F5</f>
        <v>0.690471</v>
      </c>
      <c r="G6" s="14" t="n">
        <f aca="false">ABS(F6-$L$4)</f>
        <v>2.89194569050855E-005</v>
      </c>
      <c r="H6" s="15" t="n">
        <f aca="false">ABS((F6-$L$4) / $L$4) * 100</f>
        <v>0.00418854205443818</v>
      </c>
    </row>
    <row r="7" customFormat="false" ht="16.5" hidden="false" customHeight="false" outlineLevel="0" collapsed="false">
      <c r="B7" s="12" t="n">
        <v>3</v>
      </c>
      <c r="C7" s="13" t="str">
        <f aca="false">"(-1)^" &amp; B7 &amp; " * (x^(2*" &amp; B7 &amp; "+1) / (2*" &amp; B7 &amp; "+1)!)"</f>
        <v>(-1)^3 * (x^(2*3+1) / (2*3+1)!)</v>
      </c>
      <c r="D7" s="3" t="str">
        <f aca="false">"(-1)^" &amp; B7 &amp; " * (" &amp; $K$4 &amp; "^(2*" &amp; B7 &amp; "+1) / (2*" &amp; B7 &amp; "+1)!)"</f>
        <v>(-1)^3 * (0.7621^(2*3+1) / (2*3+1)!)</v>
      </c>
      <c r="E7" s="14" t="n">
        <f aca="false">ROUND((-1)^B7 * ($K$4^(2*B7+1) / FACT(2*B7+1)), $J$4)</f>
        <v>-3E-005</v>
      </c>
      <c r="F7" s="14" t="n">
        <f aca="false">E7+F6</f>
        <v>0.690441</v>
      </c>
      <c r="G7" s="14" t="n">
        <f aca="false">ABS(F7-$L$4)</f>
        <v>1.08054309488903E-006</v>
      </c>
      <c r="H7" s="15" t="n">
        <f aca="false">ABS((F7-$L$4) / $L$4) * 100</f>
        <v>0.000156500179426938</v>
      </c>
    </row>
    <row r="8" customFormat="false" ht="16.5" hidden="false" customHeight="false" outlineLevel="0" collapsed="false">
      <c r="B8" s="12" t="n">
        <v>4</v>
      </c>
      <c r="C8" s="13" t="str">
        <f aca="false">"(-1)^" &amp; B8 &amp; " * (x^(2*" &amp; B8 &amp; "+1) / (2*" &amp; B8 &amp; "+1)!)"</f>
        <v>(-1)^4 * (x^(2*4+1) / (2*4+1)!)</v>
      </c>
      <c r="D8" s="3" t="str">
        <f aca="false">"(-1)^" &amp; B8 &amp; " * (" &amp; $K$4 &amp; "^(2*" &amp; B8 &amp; "+1) / (2*" &amp; B8 &amp; "+1)!)"</f>
        <v>(-1)^4 * (0.7621^(2*4+1) / (2*4+1)!)</v>
      </c>
      <c r="E8" s="14" t="n">
        <f aca="false">ROUND((-1)^B8 * ($K$4^(2*B8+1) / FACT(2*B8+1)), $J$4)</f>
        <v>0</v>
      </c>
      <c r="F8" s="14" t="n">
        <f aca="false">E8+F7</f>
        <v>0.690441</v>
      </c>
      <c r="G8" s="14" t="n">
        <f aca="false">ABS(F8-$L$4)</f>
        <v>1.08054309488903E-006</v>
      </c>
      <c r="H8" s="15" t="n">
        <f aca="false">ABS((F8-$L$4) / $L$4) * 100</f>
        <v>0.000156500179426938</v>
      </c>
    </row>
    <row r="9" customFormat="false" ht="16.5" hidden="false" customHeight="false" outlineLevel="0" collapsed="false">
      <c r="B9" s="19" t="n">
        <v>5</v>
      </c>
      <c r="C9" s="20" t="str">
        <f aca="false">"(-1)^" &amp; B9 &amp; " * (x^(2*" &amp; B9 &amp; "+1) / (2*" &amp; B9 &amp; "+1)!)"</f>
        <v>(-1)^5 * (x^(2*5+1) / (2*5+1)!)</v>
      </c>
      <c r="D9" s="21" t="str">
        <f aca="false">"(-1)^" &amp; B9 &amp; " * (" &amp; $K$4 &amp; "^(2*" &amp; B9 &amp; "+1) / (2*" &amp; B9 &amp; "+1)!)"</f>
        <v>(-1)^5 * (0.7621^(2*5+1) / (2*5+1)!)</v>
      </c>
      <c r="E9" s="17" t="n">
        <f aca="false">ROUND((-1)^B9 * ($K$4^(2*B9+1) / FACT(2*B9+1)), $J$4)</f>
        <v>-0</v>
      </c>
      <c r="F9" s="17" t="n">
        <f aca="false">E9+F8</f>
        <v>0.690441</v>
      </c>
      <c r="G9" s="17" t="n">
        <f aca="false">ABS(F9-$L$4)</f>
        <v>1.08054309488903E-006</v>
      </c>
      <c r="H9" s="18" t="n">
        <f aca="false">ABS((F9-$L$4) / $L$4) * 100</f>
        <v>0.000156500179426938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C6C4"/>
    <pageSetUpPr fitToPage="false"/>
  </sheetPr>
  <dimension ref="B2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6.5" zeroHeight="false" outlineLevelRow="0" outlineLevelCol="0"/>
  <cols>
    <col collapsed="false" customWidth="true" hidden="false" outlineLevel="0" max="2" min="1" style="3" width="5.71"/>
    <col collapsed="false" customWidth="true" hidden="false" outlineLevel="0" max="3" min="3" style="3" width="30.7"/>
    <col collapsed="false" customWidth="true" hidden="false" outlineLevel="0" max="4" min="4" style="3" width="37.71"/>
    <col collapsed="false" customWidth="true" hidden="false" outlineLevel="0" max="8" min="5" style="1" width="14.7"/>
    <col collapsed="false" customWidth="true" hidden="false" outlineLevel="0" max="10" min="9" style="1" width="5.71"/>
    <col collapsed="false" customWidth="true" hidden="false" outlineLevel="0" max="12" min="11" style="1" width="12.72"/>
    <col collapsed="false" customWidth="false" hidden="false" outlineLevel="0" max="16384" min="13" style="1" width="9.14"/>
  </cols>
  <sheetData>
    <row r="2" customFormat="false" ht="24.75" hidden="false" customHeight="true" outlineLevel="0" collapsed="false">
      <c r="B2" s="2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="3" customFormat="true" ht="16.5" hidden="false" customHeight="false" outlineLevel="0" collapsed="false">
      <c r="B3" s="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8" t="s">
        <v>7</v>
      </c>
      <c r="J3" s="9" t="s">
        <v>8</v>
      </c>
      <c r="K3" s="10" t="s">
        <v>9</v>
      </c>
      <c r="L3" s="11" t="s">
        <v>10</v>
      </c>
    </row>
    <row r="4" customFormat="false" ht="16.5" hidden="false" customHeight="false" outlineLevel="0" collapsed="false">
      <c r="B4" s="12" t="n">
        <v>0</v>
      </c>
      <c r="C4" s="13" t="str">
        <f aca="false">"x^" &amp; B4 &amp; " / " &amp; B4 &amp; "!"</f>
        <v>x^0 / 0!</v>
      </c>
      <c r="D4" s="3" t="str">
        <f aca="false">$K$4 &amp; "^" &amp; B4 &amp; " / " &amp; B4 &amp; "!"</f>
        <v>0.7621^0 / 0!</v>
      </c>
      <c r="E4" s="14" t="n">
        <f aca="false">ROUND($K$4^B4 / FACT(B4), $J$4)</f>
        <v>1</v>
      </c>
      <c r="F4" s="14" t="n">
        <f aca="false">E4</f>
        <v>1</v>
      </c>
      <c r="G4" s="14" t="n">
        <f aca="false">ABS(F4-$L$4)</f>
        <v>1.14277131876109</v>
      </c>
      <c r="H4" s="15" t="n">
        <f aca="false">ABS((F4-$L$4) / $L$4) * 100</f>
        <v>53.3314642003804</v>
      </c>
      <c r="J4" s="16" t="n">
        <v>6</v>
      </c>
      <c r="K4" s="17" t="n">
        <v>0.7621</v>
      </c>
      <c r="L4" s="18" t="n">
        <f aca="false">EXP(K4)</f>
        <v>2.14277131876109</v>
      </c>
    </row>
    <row r="5" customFormat="false" ht="16.5" hidden="false" customHeight="false" outlineLevel="0" collapsed="false">
      <c r="B5" s="12" t="n">
        <v>1</v>
      </c>
      <c r="C5" s="13" t="str">
        <f aca="false">"x^" &amp; B5 &amp; " / " &amp; B5 &amp; "!"</f>
        <v>x^1 / 1!</v>
      </c>
      <c r="D5" s="3" t="str">
        <f aca="false">$K$4 &amp; "^" &amp; B5 &amp; " / " &amp; B5 &amp; "!"</f>
        <v>0.7621^1 / 1!</v>
      </c>
      <c r="E5" s="14" t="n">
        <f aca="false">ROUND($K$4^B5 / FACT(B5), $J$4)</f>
        <v>0.7621</v>
      </c>
      <c r="F5" s="14" t="n">
        <f aca="false">E5+F4</f>
        <v>1.7621</v>
      </c>
      <c r="G5" s="14" t="n">
        <f aca="false">ABS(F5-$L$4)</f>
        <v>0.380671318761091</v>
      </c>
      <c r="H5" s="15" t="n">
        <f aca="false">ABS((F5-$L$4) / $L$4) * 100</f>
        <v>17.7653730674904</v>
      </c>
    </row>
    <row r="6" customFormat="false" ht="16.5" hidden="false" customHeight="false" outlineLevel="0" collapsed="false">
      <c r="B6" s="12" t="n">
        <v>2</v>
      </c>
      <c r="C6" s="13" t="str">
        <f aca="false">"x^" &amp; B6 &amp; " / " &amp; B6 &amp; "!"</f>
        <v>x^2 / 2!</v>
      </c>
      <c r="D6" s="3" t="str">
        <f aca="false">$K$4 &amp; "^" &amp; B6 &amp; " / " &amp; B6 &amp; "!"</f>
        <v>0.7621^2 / 2!</v>
      </c>
      <c r="E6" s="14" t="n">
        <f aca="false">ROUND($K$4^B6 / FACT(B6), $J$4)</f>
        <v>0.290398</v>
      </c>
      <c r="F6" s="14" t="n">
        <f aca="false">E6+F5</f>
        <v>2.052498</v>
      </c>
      <c r="G6" s="14" t="n">
        <f aca="false">ABS(F6-$L$4)</f>
        <v>0.0902733187610911</v>
      </c>
      <c r="H6" s="15" t="n">
        <f aca="false">ABS((F6-$L$4) / $L$4) * 100</f>
        <v>4.21292360835245</v>
      </c>
    </row>
    <row r="7" customFormat="false" ht="16.5" hidden="false" customHeight="false" outlineLevel="0" collapsed="false">
      <c r="B7" s="12" t="n">
        <v>3</v>
      </c>
      <c r="C7" s="13" t="str">
        <f aca="false">"x^" &amp; B7 &amp; " / " &amp; B7 &amp; "!"</f>
        <v>x^3 / 3!</v>
      </c>
      <c r="D7" s="3" t="str">
        <f aca="false">$K$4 &amp; "^" &amp; B7 &amp; " / " &amp; B7 &amp; "!"</f>
        <v>0.7621^3 / 3!</v>
      </c>
      <c r="E7" s="14" t="n">
        <f aca="false">ROUND($K$4^B7 / FACT(B7), $J$4)</f>
        <v>0.073771</v>
      </c>
      <c r="F7" s="14" t="n">
        <f aca="false">E7+F6</f>
        <v>2.126269</v>
      </c>
      <c r="G7" s="14" t="n">
        <f aca="false">ABS(F7-$L$4)</f>
        <v>0.0165023187610913</v>
      </c>
      <c r="H7" s="15" t="n">
        <f aca="false">ABS((F7-$L$4) / $L$4) * 100</f>
        <v>0.770139053878724</v>
      </c>
    </row>
    <row r="8" customFormat="false" ht="16.5" hidden="false" customHeight="false" outlineLevel="0" collapsed="false">
      <c r="B8" s="12" t="n">
        <v>4</v>
      </c>
      <c r="C8" s="13" t="str">
        <f aca="false">"x^" &amp; B8 &amp; " / " &amp; B8 &amp; "!"</f>
        <v>x^4 / 4!</v>
      </c>
      <c r="D8" s="3" t="str">
        <f aca="false">$K$4 &amp; "^" &amp; B8 &amp; " / " &amp; B8 &amp; "!"</f>
        <v>0.7621^4 / 4!</v>
      </c>
      <c r="E8" s="14" t="n">
        <f aca="false">ROUND($K$4^B8 / FACT(B8), $J$4)</f>
        <v>0.014055</v>
      </c>
      <c r="F8" s="14" t="n">
        <f aca="false">E8+F7</f>
        <v>2.140324</v>
      </c>
      <c r="G8" s="14" t="n">
        <f aca="false">ABS(F8-$L$4)</f>
        <v>0.00244731876109139</v>
      </c>
      <c r="H8" s="15" t="n">
        <f aca="false">ABS((F8-$L$4) / $L$4) * 100</f>
        <v>0.114212783215074</v>
      </c>
    </row>
    <row r="9" customFormat="false" ht="16.5" hidden="false" customHeight="false" outlineLevel="0" collapsed="false">
      <c r="B9" s="19" t="n">
        <v>5</v>
      </c>
      <c r="C9" s="20" t="str">
        <f aca="false">"x^" &amp; B9 &amp; " / " &amp; B9 &amp; "!"</f>
        <v>x^5 / 5!</v>
      </c>
      <c r="D9" s="21" t="str">
        <f aca="false">$K$4 &amp; "^" &amp; B9 &amp; " / " &amp; B9 &amp; "!"</f>
        <v>0.7621^5 / 5!</v>
      </c>
      <c r="E9" s="17" t="n">
        <f aca="false">ROUND($K$4^B9 / FACT(B9), $J$4)</f>
        <v>0.002142</v>
      </c>
      <c r="F9" s="17" t="n">
        <f aca="false">E9+F8</f>
        <v>2.142466</v>
      </c>
      <c r="G9" s="17" t="n">
        <f aca="false">ABS(F9-$L$4)</f>
        <v>0.0003053187610913</v>
      </c>
      <c r="H9" s="18" t="n">
        <f aca="false">ABS((F9-$L$4) / $L$4) * 100</f>
        <v>0.0142487795322848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2026-01-19T20:04:58Z</dcterms:created>
  <dc:creator/>
  <dc:description/>
  <dc:language>es-MX</dc:language>
  <cp:lastModifiedBy/>
  <dcterms:modified xsi:type="dcterms:W3CDTF">2026-02-20T21:19:51Z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