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roblema" sheetId="1" state="visible" r:id="rId3"/>
    <sheet name="Graphical" sheetId="2" state="visible" r:id="rId4"/>
    <sheet name="Bisection" sheetId="3" state="visible" r:id="rId5"/>
    <sheet name="Fixed-Point" sheetId="4" state="visible" r:id="rId6"/>
    <sheet name="Newton-Raphson" sheetId="5" state="visible" r:id="rId7"/>
    <sheet name="Secant" sheetId="6" state="visible" r:id="rId8"/>
    <sheet name="Parabolic interpolation" sheetId="7" state="visible" r:id="rId9"/>
  </sheets>
  <definedNames>
    <definedName function="false" hidden="false" name="h" vbProcedure="false">Problema!$C$7</definedName>
    <definedName function="false" hidden="false" name="k" vbProcedure="false">Problema!$C$6</definedName>
    <definedName function="false" hidden="false" name="q" vbProcedure="false">Problema!$C$4</definedName>
    <definedName function="false" hidden="false" name="r_w" vbProcedure="false">Problema!$C$5</definedName>
    <definedName function="false" hidden="false" name="T_air" vbProcedure="false">Problema!$C$8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<sst xmlns="http://schemas.openxmlformats.org/spreadsheetml/2006/main" count="81" uniqueCount="39">
  <si>
    <t xml:space="preserve">Problem’s constants</t>
  </si>
  <si>
    <t xml:space="preserve">q</t>
  </si>
  <si>
    <t xml:space="preserve">r_w</t>
  </si>
  <si>
    <t xml:space="preserve">k</t>
  </si>
  <si>
    <t xml:space="preserve">h</t>
  </si>
  <si>
    <t xml:space="preserve">T_air</t>
  </si>
  <si>
    <t xml:space="preserve">GRAPHICAL METHOD</t>
  </si>
  <si>
    <t xml:space="preserve">r_a</t>
  </si>
  <si>
    <t xml:space="preserve">T(r_a)</t>
  </si>
  <si>
    <t xml:space="preserve">T'(r_a)</t>
  </si>
  <si>
    <t xml:space="preserve">BISECTION METHOD</t>
  </si>
  <si>
    <t xml:space="preserve">i</t>
  </si>
  <si>
    <t xml:space="preserve">a</t>
  </si>
  <si>
    <t xml:space="preserve">b</t>
  </si>
  <si>
    <t xml:space="preserve">f(a)</t>
  </si>
  <si>
    <t xml:space="preserve">f(b)</t>
  </si>
  <si>
    <t xml:space="preserve">c</t>
  </si>
  <si>
    <t xml:space="preserve">f(c)</t>
  </si>
  <si>
    <t xml:space="preserve">f(a) f(c)</t>
  </si>
  <si>
    <t xml:space="preserve">Error bound</t>
  </si>
  <si>
    <t xml:space="preserve">Relative % error</t>
  </si>
  <si>
    <t xml:space="preserve">FIXED-POINT METHOD</t>
  </si>
  <si>
    <t xml:space="preserve">ri</t>
  </si>
  <si>
    <t xml:space="preserve">r(i+1)</t>
  </si>
  <si>
    <t xml:space="preserve">NEWTON-RAPHSON METHOD</t>
  </si>
  <si>
    <t xml:space="preserve">x_i</t>
  </si>
  <si>
    <t xml:space="preserve">f(x_i)</t>
  </si>
  <si>
    <t xml:space="preserve">f’(x_i)</t>
  </si>
  <si>
    <t xml:space="preserve">x_(i+1)</t>
  </si>
  <si>
    <t xml:space="preserve">Error</t>
  </si>
  <si>
    <t xml:space="preserve">SECANT METHOD</t>
  </si>
  <si>
    <t xml:space="preserve">x_(i-1)</t>
  </si>
  <si>
    <t xml:space="preserve">f(x_(i-1))</t>
  </si>
  <si>
    <t xml:space="preserve">PARABOLIC INTERPOLATION</t>
  </si>
  <si>
    <t xml:space="preserve">x</t>
  </si>
  <si>
    <t xml:space="preserve">y</t>
  </si>
  <si>
    <t xml:space="preserve">a =</t>
  </si>
  <si>
    <t xml:space="preserve">b =</t>
  </si>
  <si>
    <t xml:space="preserve">c =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</si>
</sst>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"/>
    <numFmt numFmtId="167" formatCode="0.000000"/>
    <numFmt numFmtId="168" formatCode="0.00000000"/>
    <numFmt numFmtId="169" formatCode="General"/>
    <numFmt numFmtId="170" formatCode="#,##0.000000"/>
    <numFmt numFmtId="171" formatCode="#,##0.00"/>
    <numFmt numFmtId="172" formatCode="0.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Iosevka Aile"/>
      <family val="0"/>
      <charset val="1"/>
    </font>
    <font>
      <b val="true"/>
      <sz val="8"/>
      <color theme="1"/>
      <name val="Iosevka Aile"/>
      <family val="0"/>
      <charset val="1"/>
    </font>
    <font>
      <sz val="6"/>
      <color rgb="FF000000"/>
      <name val="Iosevka Aile Light"/>
      <family val="2"/>
    </font>
    <font>
      <sz val="6"/>
      <color rgb="FF000000"/>
      <name val="Iosevka Aile"/>
      <family val="2"/>
    </font>
    <font>
      <sz val="7"/>
      <color rgb="FF000000"/>
      <name val="Iosevka Aile"/>
      <family val="2"/>
    </font>
    <font>
      <sz val="8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E8CB"/>
        <bgColor rgb="FFDEDCE6"/>
      </patternFill>
    </fill>
    <fill>
      <patternFill patternType="solid">
        <fgColor rgb="FFDEDCE6"/>
        <bgColor rgb="FFDDE8C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0298139811433"/>
          <c:y val="0.0498414136837336"/>
          <c:w val="0.674849231291939"/>
          <c:h val="0.906207521522429"/>
        </c:manualLayout>
      </c:layout>
      <c:scatterChart>
        <c:scatterStyle val="line"/>
        <c:varyColors val="0"/>
        <c:ser>
          <c:idx val="0"/>
          <c:order val="0"/>
          <c:tx>
            <c:strRef>
              <c:f>Graphical!$D$25:$D$25</c:f>
              <c:strCache>
                <c:ptCount val="1"/>
                <c:pt idx="0">
                  <c:v>T'(r_a)</c:v>
                </c:pt>
              </c:strCache>
            </c:strRef>
          </c:tx>
          <c:spPr>
            <a:solidFill>
              <a:srgbClr val="77bc65"/>
            </a:solidFill>
            <a:ln w="28800">
              <a:solidFill>
                <a:srgbClr val="77bc6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Graphical!$B$26:$B$36</c:f>
              <c:numCache>
                <c:formatCode>General</c:formatCode>
                <c:ptCount val="11"/>
                <c:pt idx="0">
                  <c:v>0.008</c:v>
                </c:pt>
                <c:pt idx="1">
                  <c:v>0.00805</c:v>
                </c:pt>
                <c:pt idx="2">
                  <c:v>0.0081</c:v>
                </c:pt>
                <c:pt idx="3">
                  <c:v>0.00815</c:v>
                </c:pt>
                <c:pt idx="4">
                  <c:v>0.0082</c:v>
                </c:pt>
                <c:pt idx="5">
                  <c:v>0.00825</c:v>
                </c:pt>
                <c:pt idx="6">
                  <c:v>0.0083</c:v>
                </c:pt>
                <c:pt idx="7">
                  <c:v>0.00835</c:v>
                </c:pt>
                <c:pt idx="8">
                  <c:v>0.0084</c:v>
                </c:pt>
                <c:pt idx="9">
                  <c:v>0.00845</c:v>
                </c:pt>
                <c:pt idx="10">
                  <c:v>0.0085</c:v>
                </c:pt>
              </c:numCache>
            </c:numRef>
          </c:xVal>
          <c:yVal>
            <c:numRef>
              <c:f>Graphical!$D$26:$D$36</c:f>
              <c:numCache>
                <c:formatCode>0.00</c:formatCode>
                <c:ptCount val="11"/>
                <c:pt idx="0">
                  <c:v>-59.7069864540421</c:v>
                </c:pt>
                <c:pt idx="1">
                  <c:v>-41.4979472980052</c:v>
                </c:pt>
                <c:pt idx="2">
                  <c:v>-23.5452328252951</c:v>
                </c:pt>
                <c:pt idx="3">
                  <c:v>-5.84478235212971</c:v>
                </c:pt>
                <c:pt idx="4">
                  <c:v>11.607388757183</c:v>
                </c:pt>
                <c:pt idx="5">
                  <c:v>28.8151907540593</c:v>
                </c:pt>
                <c:pt idx="6">
                  <c:v>45.7824611276539</c:v>
                </c:pt>
                <c:pt idx="7">
                  <c:v>62.5129661862657</c:v>
                </c:pt>
                <c:pt idx="8">
                  <c:v>79.0104025992924</c:v>
                </c:pt>
                <c:pt idx="9">
                  <c:v>95.2783989008126</c:v>
                </c:pt>
                <c:pt idx="10">
                  <c:v>111.320516955932</c:v>
                </c:pt>
              </c:numCache>
            </c:numRef>
          </c:yVal>
          <c:smooth val="1"/>
        </c:ser>
        <c:axId val="47826101"/>
        <c:axId val="13006912"/>
      </c:scatterChart>
      <c:valAx>
        <c:axId val="478261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 Light"/>
              </a:defRPr>
            </a:pPr>
          </a:p>
        </c:txPr>
        <c:crossAx val="13006912"/>
        <c:crosses val="autoZero"/>
        <c:crossBetween val="midCat"/>
      </c:valAx>
      <c:valAx>
        <c:axId val="130069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4782610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000000"/>
              </a:solidFill>
              <a:latin typeface="Iosevka Aile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0298139811433"/>
          <c:y val="0.0498414136837336"/>
          <c:w val="0.674849231291939"/>
          <c:h val="0.906207521522429"/>
        </c:manualLayout>
      </c:layout>
      <c:scatterChart>
        <c:scatterStyle val="line"/>
        <c:varyColors val="0"/>
        <c:ser>
          <c:idx val="0"/>
          <c:order val="0"/>
          <c:tx>
            <c:strRef>
              <c:f>Graphical!$D$4:$D$4</c:f>
              <c:strCache>
                <c:ptCount val="1"/>
                <c:pt idx="0">
                  <c:v>T'(r_a)</c:v>
                </c:pt>
              </c:strCache>
            </c:strRef>
          </c:tx>
          <c:spPr>
            <a:solidFill>
              <a:srgbClr val="77bc65"/>
            </a:solidFill>
            <a:ln w="28800">
              <a:solidFill>
                <a:srgbClr val="77bc6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Graphical!$B$5:$B$20</c:f>
              <c:numCache>
                <c:formatCode>General</c:formatCode>
                <c:ptCount val="16"/>
                <c:pt idx="0">
                  <c:v>0</c:v>
                </c:pt>
                <c:pt idx="1">
                  <c:v>0.001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0.007</c:v>
                </c:pt>
                <c:pt idx="8">
                  <c:v>0.008</c:v>
                </c:pt>
                <c:pt idx="9">
                  <c:v>0.009</c:v>
                </c:pt>
                <c:pt idx="10">
                  <c:v>0.01</c:v>
                </c:pt>
                <c:pt idx="11">
                  <c:v>0.011</c:v>
                </c:pt>
                <c:pt idx="12">
                  <c:v>0.012</c:v>
                </c:pt>
                <c:pt idx="13">
                  <c:v>0.013</c:v>
                </c:pt>
                <c:pt idx="14">
                  <c:v>0.014</c:v>
                </c:pt>
                <c:pt idx="15">
                  <c:v>0.015</c:v>
                </c:pt>
              </c:numCache>
            </c:numRef>
          </c:xVal>
          <c:yVal>
            <c:numRef>
              <c:f>Graphical!$D$5:$D$20</c:f>
              <c:numCache>
                <c:formatCode>0.00</c:formatCode>
                <c:ptCount val="16"/>
                <c:pt idx="0">
                  <c:v>-15928.4971640173</c:v>
                </c:pt>
                <c:pt idx="1">
                  <c:v>-10269.6016700953</c:v>
                </c:pt>
                <c:pt idx="2">
                  <c:v>-6765.54790257368</c:v>
                </c:pt>
                <c:pt idx="3">
                  <c:v>-4478.76110734273</c:v>
                </c:pt>
                <c:pt idx="4">
                  <c:v>-2925.64233624808</c:v>
                </c:pt>
                <c:pt idx="5">
                  <c:v>-1837.59353351119</c:v>
                </c:pt>
                <c:pt idx="6">
                  <c:v>-1056.48195475625</c:v>
                </c:pt>
                <c:pt idx="7">
                  <c:v>-484.721807189029</c:v>
                </c:pt>
                <c:pt idx="8">
                  <c:v>-59.7069864540421</c:v>
                </c:pt>
                <c:pt idx="9">
                  <c:v>260.057096555385</c:v>
                </c:pt>
                <c:pt idx="10">
                  <c:v>502.844776542638</c:v>
                </c:pt>
                <c:pt idx="11">
                  <c:v>688.386432058371</c:v>
                </c:pt>
                <c:pt idx="12">
                  <c:v>830.737947329701</c:v>
                </c:pt>
                <c:pt idx="13">
                  <c:v>940.095598351182</c:v>
                </c:pt>
                <c:pt idx="14">
                  <c:v>1023.97481768683</c:v>
                </c:pt>
                <c:pt idx="15">
                  <c:v>1087.99397538477</c:v>
                </c:pt>
              </c:numCache>
            </c:numRef>
          </c:yVal>
          <c:smooth val="1"/>
        </c:ser>
        <c:axId val="20423033"/>
        <c:axId val="39723610"/>
      </c:scatterChart>
      <c:valAx>
        <c:axId val="204230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 Light"/>
              </a:defRPr>
            </a:pPr>
          </a:p>
        </c:txPr>
        <c:crossAx val="39723610"/>
        <c:crosses val="autoZero"/>
        <c:crossBetween val="midCat"/>
      </c:valAx>
      <c:valAx>
        <c:axId val="397236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2042303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700" spc="-1" strike="noStrike">
              <a:solidFill>
                <a:srgbClr val="000000"/>
              </a:solidFill>
              <a:latin typeface="Iosevka Aile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77bc65"/>
            </a:solidFill>
            <a:ln w="28800">
              <a:noFill/>
            </a:ln>
          </c:spPr>
          <c:marker>
            <c:symbol val="square"/>
            <c:size val="4"/>
            <c:spPr>
              <a:solidFill>
                <a:srgbClr val="77bc65"/>
              </a:solidFill>
            </c:spPr>
          </c:marker>
          <c:dPt>
            <c:idx val="0"/>
            <c:marker>
              <c:symbol val="square"/>
              <c:size val="4"/>
              <c:spPr>
                <a:solidFill>
                  <a:srgbClr val="77bc65"/>
                </a:solidFill>
              </c:spPr>
            </c:marker>
          </c:dPt>
          <c:dPt>
            <c:idx val="1"/>
            <c:marker>
              <c:symbol val="square"/>
              <c:size val="4"/>
              <c:spPr>
                <a:solidFill>
                  <a:srgbClr val="77bc65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77bc65"/>
                </a:solidFill>
              </a:ln>
            </c:spPr>
            <c:trendlineType val="poly"/>
            <c:order val="2"/>
            <c:forward val="0"/>
            <c:backward val="0"/>
            <c:dispRSqr val="0"/>
            <c:dispEq val="1"/>
          </c:trendline>
          <c:xVal>
            <c:numRef>
              <c:f>'Parabolic interpolation'!$B$5:$B$7</c:f>
              <c:numCache>
                <c:formatCode>#,##0.000000</c:formatCode>
                <c:ptCount val="3"/>
                <c:pt idx="0">
                  <c:v>0.001</c:v>
                </c:pt>
                <c:pt idx="1">
                  <c:v>0.005</c:v>
                </c:pt>
                <c:pt idx="2">
                  <c:v>0.01</c:v>
                </c:pt>
              </c:numCache>
            </c:numRef>
          </c:xVal>
          <c:yVal>
            <c:numRef>
              <c:f>'Parabolic interpolation'!$C$5:$C$7</c:f>
              <c:numCache>
                <c:formatCode>#,##0.000000</c:formatCode>
                <c:ptCount val="3"/>
                <c:pt idx="0">
                  <c:v>445.926381882158</c:v>
                </c:pt>
                <c:pt idx="1">
                  <c:v>425.989022581162</c:v>
                </c:pt>
                <c:pt idx="2">
                  <c:v>424.039233739072</c:v>
                </c:pt>
              </c:numCache>
            </c:numRef>
          </c:yVal>
          <c:smooth val="0"/>
        </c:ser>
        <c:axId val="80898423"/>
        <c:axId val="32368587"/>
      </c:scatterChart>
      <c:valAx>
        <c:axId val="808984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32368587"/>
        <c:crossesAt val="0"/>
        <c:crossBetween val="midCat"/>
      </c:valAx>
      <c:valAx>
        <c:axId val="323685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600" spc="-1" strike="noStrike">
                <a:solidFill>
                  <a:srgbClr val="000000"/>
                </a:solidFill>
                <a:latin typeface="Iosevka Aile"/>
              </a:defRPr>
            </a:pPr>
          </a:p>
        </c:txPr>
        <c:crossAx val="80898423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354600</xdr:colOff>
      <xdr:row>24</xdr:row>
      <xdr:rowOff>0</xdr:rowOff>
    </xdr:from>
    <xdr:to>
      <xdr:col>9</xdr:col>
      <xdr:colOff>808560</xdr:colOff>
      <xdr:row>38</xdr:row>
      <xdr:rowOff>116280</xdr:rowOff>
    </xdr:to>
    <xdr:graphicFrame>
      <xdr:nvGraphicFramePr>
        <xdr:cNvPr id="0" name=""/>
        <xdr:cNvGraphicFramePr/>
      </xdr:nvGraphicFramePr>
      <xdr:xfrm>
        <a:off x="3282480" y="3886200"/>
        <a:ext cx="4237920" cy="238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354600</xdr:colOff>
      <xdr:row>3</xdr:row>
      <xdr:rowOff>1800</xdr:rowOff>
    </xdr:from>
    <xdr:to>
      <xdr:col>9</xdr:col>
      <xdr:colOff>808560</xdr:colOff>
      <xdr:row>17</xdr:row>
      <xdr:rowOff>118080</xdr:rowOff>
    </xdr:to>
    <xdr:graphicFrame>
      <xdr:nvGraphicFramePr>
        <xdr:cNvPr id="1" name=""/>
        <xdr:cNvGraphicFramePr/>
      </xdr:nvGraphicFramePr>
      <xdr:xfrm>
        <a:off x="3282480" y="487440"/>
        <a:ext cx="4237920" cy="238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854640</xdr:colOff>
      <xdr:row>3</xdr:row>
      <xdr:rowOff>360</xdr:rowOff>
    </xdr:from>
    <xdr:to>
      <xdr:col>12</xdr:col>
      <xdr:colOff>822240</xdr:colOff>
      <xdr:row>19</xdr:row>
      <xdr:rowOff>12600</xdr:rowOff>
    </xdr:to>
    <xdr:graphicFrame>
      <xdr:nvGraphicFramePr>
        <xdr:cNvPr id="2" name=""/>
        <xdr:cNvGraphicFramePr/>
      </xdr:nvGraphicFramePr>
      <xdr:xfrm>
        <a:off x="6963480" y="488160"/>
        <a:ext cx="3391560" cy="261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1" min="1" style="1" width="4.5"/>
    <col collapsed="false" customWidth="true" hidden="false" outlineLevel="0" max="3" min="2" style="2" width="6.74"/>
    <col collapsed="false" customWidth="false" hidden="false" outlineLevel="0" max="16380" min="4" style="1" width="10.7"/>
    <col collapsed="false" customWidth="true" hidden="false" outlineLevel="0" max="16384" min="16381" style="1" width="10.16"/>
  </cols>
  <sheetData>
    <row r="1" customFormat="false" ht="12.8" hidden="false" customHeight="false" outlineLevel="0" collapsed="false"/>
    <row r="2" customFormat="false" ht="12.8" hidden="false" customHeight="false" outlineLevel="0" collapsed="false">
      <c r="B2" s="3" t="s">
        <v>0</v>
      </c>
    </row>
    <row r="4" customFormat="false" ht="12.75" hidden="false" customHeight="true" outlineLevel="0" collapsed="false">
      <c r="B4" s="4" t="s">
        <v>1</v>
      </c>
      <c r="C4" s="1" t="n">
        <v>75</v>
      </c>
    </row>
    <row r="5" customFormat="false" ht="12.75" hidden="false" customHeight="true" outlineLevel="0" collapsed="false">
      <c r="B5" s="4" t="s">
        <v>2</v>
      </c>
      <c r="C5" s="1" t="n">
        <v>0.006</v>
      </c>
    </row>
    <row r="6" customFormat="false" ht="12.75" hidden="false" customHeight="true" outlineLevel="0" collapsed="false">
      <c r="B6" s="4" t="s">
        <v>3</v>
      </c>
      <c r="C6" s="1" t="n">
        <v>0.17</v>
      </c>
    </row>
    <row r="7" customFormat="false" ht="12.75" hidden="false" customHeight="true" outlineLevel="0" collapsed="false">
      <c r="B7" s="4" t="s">
        <v>4</v>
      </c>
      <c r="C7" s="1" t="n">
        <v>12</v>
      </c>
    </row>
    <row r="8" customFormat="false" ht="12.75" hidden="false" customHeight="true" outlineLevel="0" collapsed="false">
      <c r="B8" s="4" t="s">
        <v>5</v>
      </c>
      <c r="C8" s="1" t="n">
        <v>293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1" min="1" style="1" width="4.5"/>
    <col collapsed="false" customWidth="false" hidden="false" outlineLevel="0" max="4" min="2" style="1" width="10.7"/>
    <col collapsed="false" customWidth="true" hidden="false" outlineLevel="0" max="5" min="5" style="1" width="4.5"/>
    <col collapsed="false" customWidth="false" hidden="false" outlineLevel="0" max="7" min="6" style="2" width="10.7"/>
    <col collapsed="false" customWidth="false" hidden="false" outlineLevel="0" max="16384" min="8" style="1" width="10.7"/>
  </cols>
  <sheetData>
    <row r="2" customFormat="false" ht="12.75" hidden="false" customHeight="true" outlineLevel="0" collapsed="false">
      <c r="B2" s="3" t="s">
        <v>6</v>
      </c>
    </row>
    <row r="4" s="1" customFormat="true" ht="12.75" hidden="false" customHeight="true" outlineLevel="0" collapsed="false">
      <c r="B4" s="4" t="s">
        <v>7</v>
      </c>
      <c r="C4" s="4" t="s">
        <v>8</v>
      </c>
      <c r="D4" s="4" t="s">
        <v>9</v>
      </c>
    </row>
    <row r="5" s="1" customFormat="true" ht="12.75" hidden="false" customHeight="true" outlineLevel="0" collapsed="false">
      <c r="B5" s="1" t="n">
        <v>0</v>
      </c>
      <c r="C5" s="5" t="n">
        <f aca="false">T_air  +  (q / (2*PI())) * ((1/k)*LN((r_w+B5)/r_w) + (1/h) * (1/(r_w+B5)))</f>
        <v>458.786399054058</v>
      </c>
      <c r="D5" s="5" t="n">
        <f aca="false">(q / (2*PI())) * ((1/(k*(r_w+B5))+(1/h)*(-1/(r_w+B5)^2)))</f>
        <v>-15928.4971640173</v>
      </c>
    </row>
    <row r="6" s="1" customFormat="true" ht="12.75" hidden="false" customHeight="true" outlineLevel="0" collapsed="false">
      <c r="B6" s="1" t="n">
        <v>0.001</v>
      </c>
      <c r="C6" s="5" t="n">
        <f aca="false">T_air  +  (q / (2*PI())) * ((1/k)*LN((r_w+B6)/r_w) + (1/h) * (1/(r_w+B6)))</f>
        <v>445.926381882158</v>
      </c>
      <c r="D6" s="5" t="n">
        <f aca="false">(q / (2*PI())) * ((1/(k*(r_w+B6))+(1/h)*(-1/(r_w+B6)^2)))</f>
        <v>-10269.6016700953</v>
      </c>
    </row>
    <row r="7" s="1" customFormat="true" ht="12.75" hidden="false" customHeight="true" outlineLevel="0" collapsed="false">
      <c r="B7" s="1" t="n">
        <v>0.002</v>
      </c>
      <c r="C7" s="5" t="n">
        <f aca="false">T_air  +  (q / (2*PI())) * ((1/k)*LN((r_w+B7)/r_w) + (1/h) * (1/(r_w+B7)))</f>
        <v>437.539515703612</v>
      </c>
      <c r="D7" s="5" t="n">
        <f aca="false">(q / (2*PI())) * ((1/(k*(r_w+B7))+(1/h)*(-1/(r_w+B7)^2)))</f>
        <v>-6765.54790257368</v>
      </c>
    </row>
    <row r="8" s="1" customFormat="true" ht="12.75" hidden="false" customHeight="true" outlineLevel="0" collapsed="false">
      <c r="B8" s="1" t="n">
        <v>0.003</v>
      </c>
      <c r="C8" s="5" t="n">
        <f aca="false">T_air  +  (q / (2*PI())) * ((1/k)*LN((r_w+B8)/r_w) + (1/h) * (1/(r_w+B8)))</f>
        <v>431.994167303702</v>
      </c>
      <c r="D8" s="5" t="n">
        <f aca="false">(q / (2*PI())) * ((1/(k*(r_w+B8))+(1/h)*(-1/(r_w+B8)^2)))</f>
        <v>-4478.76110734273</v>
      </c>
    </row>
    <row r="9" customFormat="false" ht="12.75" hidden="false" customHeight="true" outlineLevel="0" collapsed="false">
      <c r="B9" s="1" t="n">
        <v>0.004</v>
      </c>
      <c r="C9" s="5" t="n">
        <f aca="false">T_air  +  (q / (2*PI())) * ((1/k)*LN((r_w+B9)/r_w) + (1/h) * (1/(r_w+B9)))</f>
        <v>428.339673144357</v>
      </c>
      <c r="D9" s="5" t="n">
        <f aca="false">(q / (2*PI())) * ((1/(k*(r_w+B9))+(1/h)*(-1/(r_w+B9)^2)))</f>
        <v>-2925.64233624808</v>
      </c>
    </row>
    <row r="10" customFormat="false" ht="12.75" hidden="false" customHeight="true" outlineLevel="0" collapsed="false">
      <c r="B10" s="1" t="n">
        <v>0.005</v>
      </c>
      <c r="C10" s="5" t="n">
        <f aca="false">T_air  +  (q / (2*PI())) * ((1/k)*LN((r_w+B10)/r_w) + (1/h) * (1/(r_w+B10)))</f>
        <v>425.989022581162</v>
      </c>
      <c r="D10" s="5" t="n">
        <f aca="false">(q / (2*PI())) * ((1/(k*(r_w+B10))+(1/h)*(-1/(r_w+B10)^2)))</f>
        <v>-1837.59353351119</v>
      </c>
    </row>
    <row r="11" customFormat="false" ht="12.75" hidden="false" customHeight="true" outlineLevel="0" collapsed="false">
      <c r="B11" s="1" t="n">
        <v>0.006</v>
      </c>
      <c r="C11" s="5" t="n">
        <f aca="false">T_air  +  (q / (2*PI())) * ((1/k)*LN((r_w+B11)/r_w) + (1/h) * (1/(r_w+B11)))</f>
        <v>424.562817207761</v>
      </c>
      <c r="D11" s="5" t="n">
        <f aca="false">(q / (2*PI())) * ((1/(k*(r_w+B11))+(1/h)*(-1/(r_w+B11)^2)))</f>
        <v>-1056.48195475625</v>
      </c>
    </row>
    <row r="12" customFormat="false" ht="12.75" hidden="false" customHeight="true" outlineLevel="0" collapsed="false">
      <c r="B12" s="1" t="n">
        <v>0.007</v>
      </c>
      <c r="C12" s="5" t="n">
        <f aca="false">T_air  +  (q / (2*PI())) * ((1/k)*LN((r_w+B12)/r_w) + (1/h) * (1/(r_w+B12)))</f>
        <v>423.806649266806</v>
      </c>
      <c r="D12" s="5" t="n">
        <f aca="false">(q / (2*PI())) * ((1/(k*(r_w+B12))+(1/h)*(-1/(r_w+B12)^2)))</f>
        <v>-484.721807189029</v>
      </c>
    </row>
    <row r="13" customFormat="false" ht="12.75" hidden="false" customHeight="true" outlineLevel="0" collapsed="false">
      <c r="B13" s="6" t="n">
        <v>0.008</v>
      </c>
      <c r="C13" s="7" t="n">
        <f aca="false">T_air  +  (q / (2*PI())) * ((1/k)*LN((r_w+B13)/r_w) + (1/h) * (1/(r_w+B13)))</f>
        <v>423.54468568258</v>
      </c>
      <c r="D13" s="7" t="n">
        <f aca="false">(q / (2*PI())) * ((1/(k*(r_w+B13))+(1/h)*(-1/(r_w+B13)^2)))</f>
        <v>-59.7069864540421</v>
      </c>
    </row>
    <row r="14" customFormat="false" ht="12.75" hidden="false" customHeight="true" outlineLevel="0" collapsed="false">
      <c r="B14" s="6" t="n">
        <v>0.009</v>
      </c>
      <c r="C14" s="7" t="n">
        <f aca="false">T_air  +  (q / (2*PI())) * ((1/k)*LN((r_w+B14)/r_w) + (1/h) * (1/(r_w+B14)))</f>
        <v>423.652294601209</v>
      </c>
      <c r="D14" s="7" t="n">
        <f aca="false">(q / (2*PI())) * ((1/(k*(r_w+B14))+(1/h)*(-1/(r_w+B14)^2)))</f>
        <v>260.057096555385</v>
      </c>
    </row>
    <row r="15" customFormat="false" ht="12.75" hidden="false" customHeight="true" outlineLevel="0" collapsed="false">
      <c r="B15" s="1" t="n">
        <v>0.01</v>
      </c>
      <c r="C15" s="5" t="n">
        <f aca="false">T_air  +  (q / (2*PI())) * ((1/k)*LN((r_w+B15)/r_w) + (1/h) * (1/(r_w+B15)))</f>
        <v>424.039233739072</v>
      </c>
      <c r="D15" s="5" t="n">
        <f aca="false">(q / (2*PI())) * ((1/(k*(r_w+B15))+(1/h)*(-1/(r_w+B15)^2)))</f>
        <v>502.844776542638</v>
      </c>
    </row>
    <row r="16" customFormat="false" ht="12.75" hidden="false" customHeight="true" outlineLevel="0" collapsed="false">
      <c r="B16" s="1" t="n">
        <v>0.011</v>
      </c>
      <c r="C16" s="5" t="n">
        <f aca="false">T_air  +  (q / (2*PI())) * ((1/k)*LN((r_w+B16)/r_w) + (1/h) * (1/(r_w+B16)))</f>
        <v>424.638963863686</v>
      </c>
      <c r="D16" s="5" t="n">
        <f aca="false">(q / (2*PI())) * ((1/(k*(r_w+B16))+(1/h)*(-1/(r_w+B16)^2)))</f>
        <v>688.386432058371</v>
      </c>
    </row>
    <row r="17" customFormat="false" ht="12.75" hidden="false" customHeight="true" outlineLevel="0" collapsed="false">
      <c r="B17" s="1" t="n">
        <v>0.012</v>
      </c>
      <c r="C17" s="5" t="n">
        <f aca="false">T_air  +  (q / (2*PI())) * ((1/k)*LN((r_w+B17)/r_w) + (1/h) * (1/(r_w+B17)))</f>
        <v>425.401651966415</v>
      </c>
      <c r="D17" s="5" t="n">
        <f aca="false">(q / (2*PI())) * ((1/(k*(r_w+B17))+(1/h)*(-1/(r_w+B17)^2)))</f>
        <v>830.737947329701</v>
      </c>
    </row>
    <row r="18" customFormat="false" ht="12.75" hidden="false" customHeight="true" outlineLevel="0" collapsed="false">
      <c r="B18" s="1" t="n">
        <v>0.013</v>
      </c>
      <c r="C18" s="5" t="n">
        <f aca="false">T_air  +  (q / (2*PI())) * ((1/k)*LN((r_w+B18)/r_w) + (1/h) * (1/(r_w+B18)))</f>
        <v>426.289471086916</v>
      </c>
      <c r="D18" s="5" t="n">
        <f aca="false">(q / (2*PI())) * ((1/(k*(r_w+B18))+(1/h)*(-1/(r_w+B18)^2)))</f>
        <v>940.095598351182</v>
      </c>
    </row>
    <row r="19" customFormat="false" ht="12.75" hidden="false" customHeight="true" outlineLevel="0" collapsed="false">
      <c r="B19" s="1" t="n">
        <v>0.014</v>
      </c>
      <c r="C19" s="5" t="n">
        <f aca="false">T_air  +  (q / (2*PI())) * ((1/k)*LN((r_w+B19)/r_w) + (1/h) * (1/(r_w+B19)))</f>
        <v>427.273371108872</v>
      </c>
      <c r="D19" s="5" t="n">
        <f aca="false">(q / (2*PI())) * ((1/(k*(r_w+B19))+(1/h)*(-1/(r_w+B19)^2)))</f>
        <v>1023.97481768683</v>
      </c>
    </row>
    <row r="20" customFormat="false" ht="12.75" hidden="false" customHeight="true" outlineLevel="0" collapsed="false">
      <c r="B20" s="1" t="n">
        <v>0.015</v>
      </c>
      <c r="C20" s="5" t="n">
        <f aca="false">T_air  +  (q / (2*PI())) * ((1/k)*LN((r_w+B20)/r_w) + (1/h) * (1/(r_w+B20)))</f>
        <v>428.330815656806</v>
      </c>
      <c r="D20" s="5" t="n">
        <f aca="false">(q / (2*PI())) * ((1/(k*(r_w+B20))+(1/h)*(-1/(r_w+B20)^2)))</f>
        <v>1087.99397538477</v>
      </c>
    </row>
    <row r="21" customFormat="false" ht="12.75" hidden="false" customHeight="true" outlineLevel="0" collapsed="false">
      <c r="C21" s="5"/>
      <c r="D21" s="5"/>
    </row>
    <row r="22" customFormat="false" ht="12.75" hidden="false" customHeight="true" outlineLevel="0" collapsed="false">
      <c r="C22" s="5"/>
      <c r="D22" s="5"/>
    </row>
    <row r="23" customFormat="false" ht="12.75" hidden="false" customHeight="true" outlineLevel="0" collapsed="false">
      <c r="C23" s="5"/>
      <c r="D23" s="5"/>
    </row>
    <row r="24" customFormat="false" ht="12.75" hidden="false" customHeight="true" outlineLevel="0" collapsed="false">
      <c r="C24" s="5"/>
      <c r="D24" s="5"/>
    </row>
    <row r="25" customFormat="false" ht="12.75" hidden="false" customHeight="true" outlineLevel="0" collapsed="false">
      <c r="B25" s="4" t="s">
        <v>7</v>
      </c>
      <c r="C25" s="4" t="s">
        <v>8</v>
      </c>
      <c r="D25" s="4" t="s">
        <v>9</v>
      </c>
    </row>
    <row r="26" customFormat="false" ht="12.75" hidden="false" customHeight="true" outlineLevel="0" collapsed="false">
      <c r="B26" s="1" t="n">
        <v>0.008</v>
      </c>
      <c r="C26" s="5" t="n">
        <f aca="false">T_air  +  (q / (2*PI())) * ((1/k)*LN((r_w+B26)/r_w) + (1/h) * (1/(r_w+B26)))</f>
        <v>423.54468568258</v>
      </c>
      <c r="D26" s="5" t="n">
        <f aca="false">(q / (2*PI())) * ((1/(k*(r_w+B26))+(1/h)*(-1/(r_w+B26)^2)))</f>
        <v>-59.7069864540421</v>
      </c>
    </row>
    <row r="27" customFormat="false" ht="12.75" hidden="false" customHeight="true" outlineLevel="0" collapsed="false">
      <c r="B27" s="1" t="n">
        <v>0.00805</v>
      </c>
      <c r="C27" s="5" t="n">
        <f aca="false">T_air  +  (q / (2*PI())) * ((1/k)*LN((r_w+B27)/r_w) + (1/h) * (1/(r_w+B27)))</f>
        <v>423.542156635817</v>
      </c>
      <c r="D27" s="5" t="n">
        <f aca="false">(q / (2*PI())) * ((1/(k*(r_w+B27))+(1/h)*(-1/(r_w+B27)^2)))</f>
        <v>-41.4979472980052</v>
      </c>
    </row>
    <row r="28" customFormat="false" ht="12.75" hidden="false" customHeight="true" outlineLevel="0" collapsed="false">
      <c r="B28" s="1" t="n">
        <v>0.0081</v>
      </c>
      <c r="C28" s="5" t="n">
        <f aca="false">T_air  +  (q / (2*PI())) * ((1/k)*LN((r_w+B28)/r_w) + (1/h) * (1/(r_w+B28)))</f>
        <v>423.540531615815</v>
      </c>
      <c r="D28" s="5" t="n">
        <f aca="false">(q / (2*PI())) * ((1/(k*(r_w+B28))+(1/h)*(-1/(r_w+B28)^2)))</f>
        <v>-23.5452328252951</v>
      </c>
    </row>
    <row r="29" customFormat="false" ht="12.75" hidden="false" customHeight="true" outlineLevel="0" collapsed="false">
      <c r="B29" s="6" t="n">
        <v>0.00815</v>
      </c>
      <c r="C29" s="7" t="n">
        <f aca="false">T_air  +  (q / (2*PI())) * ((1/k)*LN((r_w+B29)/r_w) + (1/h) * (1/(r_w+B29)))</f>
        <v>423.539797908177</v>
      </c>
      <c r="D29" s="7" t="n">
        <f aca="false">(q / (2*PI())) * ((1/(k*(r_w+B29))+(1/h)*(-1/(r_w+B29)^2)))</f>
        <v>-5.84478235212971</v>
      </c>
    </row>
    <row r="30" customFormat="false" ht="12.75" hidden="false" customHeight="true" outlineLevel="0" collapsed="false">
      <c r="B30" s="6" t="n">
        <v>0.0082</v>
      </c>
      <c r="C30" s="7" t="n">
        <f aca="false">T_air  +  (q / (2*PI())) * ((1/k)*LN((r_w+B30)/r_w) + (1/h) * (1/(r_w+B30)))</f>
        <v>423.539942999632</v>
      </c>
      <c r="D30" s="7" t="n">
        <f aca="false">(q / (2*PI())) * ((1/(k*(r_w+B30))+(1/h)*(-1/(r_w+B30)^2)))</f>
        <v>11.607388757183</v>
      </c>
    </row>
    <row r="31" customFormat="false" ht="12.75" hidden="false" customHeight="true" outlineLevel="0" collapsed="false">
      <c r="B31" s="1" t="n">
        <v>0.00825</v>
      </c>
      <c r="C31" s="5" t="n">
        <f aca="false">T_air  +  (q / (2*PI())) * ((1/k)*LN((r_w+B31)/r_w) + (1/h) * (1/(r_w+B31)))</f>
        <v>423.540954574274</v>
      </c>
      <c r="D31" s="5" t="n">
        <f aca="false">(q / (2*PI())) * ((1/(k*(r_w+B31))+(1/h)*(-1/(r_w+B31)^2)))</f>
        <v>28.8151907540593</v>
      </c>
    </row>
    <row r="32" customFormat="false" ht="12.75" hidden="false" customHeight="true" outlineLevel="0" collapsed="false">
      <c r="B32" s="1" t="n">
        <v>0.0083</v>
      </c>
      <c r="C32" s="5" t="n">
        <f aca="false">T_air  +  (q / (2*PI())) * ((1/k)*LN((r_w+B32)/r_w) + (1/h) * (1/(r_w+B32)))</f>
        <v>423.542820509886</v>
      </c>
      <c r="D32" s="5" t="n">
        <f aca="false">(q / (2*PI())) * ((1/(k*(r_w+B32))+(1/h)*(-1/(r_w+B32)^2)))</f>
        <v>45.7824611276539</v>
      </c>
    </row>
    <row r="33" customFormat="false" ht="12.75" hidden="false" customHeight="true" outlineLevel="0" collapsed="false">
      <c r="B33" s="1" t="n">
        <v>0.00835</v>
      </c>
      <c r="C33" s="5" t="n">
        <f aca="false">T_air  +  (q / (2*PI())) * ((1/k)*LN((r_w+B33)/r_w) + (1/h) * (1/(r_w+B33)))</f>
        <v>423.545528874337</v>
      </c>
      <c r="D33" s="5" t="n">
        <f aca="false">(q / (2*PI())) * ((1/(k*(r_w+B33))+(1/h)*(-1/(r_w+B33)^2)))</f>
        <v>62.5129661862657</v>
      </c>
    </row>
    <row r="34" customFormat="false" ht="12.75" hidden="false" customHeight="true" outlineLevel="0" collapsed="false">
      <c r="B34" s="1" t="n">
        <v>0.0084</v>
      </c>
      <c r="C34" s="5" t="n">
        <f aca="false">T_air  +  (q / (2*PI())) * ((1/k)*LN((r_w+B34)/r_w) + (1/h) * (1/(r_w+B34)))</f>
        <v>423.549067922065</v>
      </c>
      <c r="D34" s="5" t="n">
        <f aca="false">(q / (2*PI())) * ((1/(k*(r_w+B34))+(1/h)*(-1/(r_w+B34)^2)))</f>
        <v>79.0104025992924</v>
      </c>
    </row>
    <row r="35" customFormat="false" ht="12.75" hidden="false" customHeight="true" outlineLevel="0" collapsed="false">
      <c r="B35" s="1" t="n">
        <v>0.00845</v>
      </c>
      <c r="C35" s="5" t="n">
        <f aca="false">T_air  +  (q / (2*PI())) * ((1/k)*LN((r_w+B35)/r_w) + (1/h) * (1/(r_w+B35)))</f>
        <v>423.553426090632</v>
      </c>
      <c r="D35" s="5" t="n">
        <f aca="false">(q / (2*PI())) * ((1/(k*(r_w+B35))+(1/h)*(-1/(r_w+B35)^2)))</f>
        <v>95.2783989008126</v>
      </c>
    </row>
    <row r="36" customFormat="false" ht="12.75" hidden="false" customHeight="true" outlineLevel="0" collapsed="false">
      <c r="B36" s="1" t="n">
        <v>0.0085</v>
      </c>
      <c r="C36" s="5" t="n">
        <f aca="false">T_air  +  (q / (2*PI())) * ((1/k)*LN((r_w+B36)/r_w) + (1/h) * (1/(r_w+B36)))</f>
        <v>423.558591997354</v>
      </c>
      <c r="D36" s="5" t="n">
        <f aca="false">(q / (2*PI())) * ((1/(k*(r_w+B36))+(1/h)*(-1/(r_w+B36)^2)))</f>
        <v>111.320516955932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2" min="1" style="1" width="4.5"/>
    <col collapsed="false" customWidth="false" hidden="false" outlineLevel="0" max="6" min="3" style="1" width="10.7"/>
    <col collapsed="false" customWidth="false" hidden="false" outlineLevel="0" max="8" min="7" style="2" width="10.7"/>
    <col collapsed="false" customWidth="false" hidden="false" outlineLevel="0" max="16384" min="9" style="1" width="10.7"/>
  </cols>
  <sheetData>
    <row r="2" customFormat="false" ht="12.8" hidden="false" customHeight="false" outlineLevel="0" collapsed="false">
      <c r="B2" s="3" t="s">
        <v>10</v>
      </c>
      <c r="C2" s="3"/>
    </row>
    <row r="4" customFormat="false" ht="12.8" hidden="false" customHeight="false" outlineLevel="0" collapsed="false"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</row>
    <row r="5" customFormat="false" ht="12.8" hidden="false" customHeight="false" outlineLevel="0" collapsed="false">
      <c r="B5" s="8" t="n">
        <v>1</v>
      </c>
      <c r="C5" s="9" t="n">
        <v>0.008</v>
      </c>
      <c r="D5" s="9" t="n">
        <v>0.009</v>
      </c>
      <c r="E5" s="9" t="n">
        <f aca="false">(q / (2*PI())) * ((1/(k*(r_w+C5))+(1/h)*(-1/(r_w+C5)^2)))</f>
        <v>-59.7069864540421</v>
      </c>
      <c r="F5" s="9" t="n">
        <f aca="false">(q / (2*PI())) * ((1/(k*(r_w+D5))+(1/h)*(-1/(r_w+D5)^2)))</f>
        <v>260.057096555385</v>
      </c>
      <c r="G5" s="9" t="n">
        <f aca="false">C5+0.5*(D5-C5)</f>
        <v>0.0085</v>
      </c>
      <c r="H5" s="9" t="n">
        <f aca="false">(q / (2*PI())) * ((1/(k*(r_w+G5))+(1/h)*(-1/(r_w+G5)^2)))</f>
        <v>111.320516955932</v>
      </c>
      <c r="I5" s="9" t="n">
        <f aca="false">E5*H5</f>
        <v>-6646.61259794482</v>
      </c>
      <c r="J5" s="9" t="n">
        <f aca="false">D5-C5</f>
        <v>0.000999999999999999</v>
      </c>
      <c r="K5" s="9" t="n">
        <f aca="false">ABS((G5-0)/G5)*100</f>
        <v>100</v>
      </c>
    </row>
    <row r="6" customFormat="false" ht="12.8" hidden="false" customHeight="false" outlineLevel="0" collapsed="false">
      <c r="B6" s="8" t="n">
        <v>2</v>
      </c>
      <c r="C6" s="9" t="n">
        <f aca="false">IF(I5&lt;0,C5,G5)</f>
        <v>0.008</v>
      </c>
      <c r="D6" s="9" t="n">
        <f aca="false">IF(I5&lt;0,G5,D5)</f>
        <v>0.0085</v>
      </c>
      <c r="E6" s="9" t="n">
        <f aca="false">(q / (2*PI())) * ((1/(k*(r_w+C6))+(1/h)*(-1/(r_w+C6)^2)))</f>
        <v>-59.7069864540421</v>
      </c>
      <c r="F6" s="9" t="n">
        <f aca="false">(q / (2*PI())) * ((1/(k*(r_w+D6))+(1/h)*(-1/(r_w+D6)^2)))</f>
        <v>111.320516955932</v>
      </c>
      <c r="G6" s="9" t="n">
        <f aca="false">C6+0.5*(D6-C6)</f>
        <v>0.00825</v>
      </c>
      <c r="H6" s="9" t="n">
        <f aca="false">(q / (2*PI())) * ((1/(k*(r_w+G6))+(1/h)*(-1/(r_w+G6)^2)))</f>
        <v>28.8151907540593</v>
      </c>
      <c r="I6" s="9" t="n">
        <f aca="false">E6*H6</f>
        <v>-1720.46820402326</v>
      </c>
      <c r="J6" s="9" t="n">
        <f aca="false">D6-C6</f>
        <v>0.0005</v>
      </c>
      <c r="K6" s="9" t="n">
        <f aca="false">ABS((G6-G5)/G6)*100</f>
        <v>3.03030303030303</v>
      </c>
    </row>
    <row r="7" customFormat="false" ht="12.8" hidden="false" customHeight="false" outlineLevel="0" collapsed="false">
      <c r="B7" s="8" t="n">
        <v>3</v>
      </c>
      <c r="C7" s="9" t="n">
        <f aca="false">IF(I6&lt;0,C6,G6)</f>
        <v>0.008</v>
      </c>
      <c r="D7" s="9" t="n">
        <f aca="false">IF(I6&lt;0,G6,D6)</f>
        <v>0.00825</v>
      </c>
      <c r="E7" s="9" t="n">
        <f aca="false">(q / (2*PI())) * ((1/(k*(r_w+C7))+(1/h)*(-1/(r_w+C7)^2)))</f>
        <v>-59.7069864540421</v>
      </c>
      <c r="F7" s="9" t="n">
        <f aca="false">(q / (2*PI())) * ((1/(k*(r_w+D7))+(1/h)*(-1/(r_w+D7)^2)))</f>
        <v>28.8151907540593</v>
      </c>
      <c r="G7" s="9" t="n">
        <f aca="false">C7+0.5*(D7-C7)</f>
        <v>0.008125</v>
      </c>
      <c r="H7" s="9" t="n">
        <f aca="false">(q / (2*PI())) * ((1/(k*(r_w+G7))+(1/h)*(-1/(r_w+G7)^2)))</f>
        <v>-14.6637253911721</v>
      </c>
      <c r="I7" s="9" t="n">
        <f aca="false">E7*H7</f>
        <v>875.526853296508</v>
      </c>
      <c r="J7" s="9" t="n">
        <f aca="false">D7-C7</f>
        <v>0.00025</v>
      </c>
      <c r="K7" s="9" t="n">
        <f aca="false">ABS((G7-G6)/G7)*100</f>
        <v>1.53846153846154</v>
      </c>
    </row>
    <row r="8" customFormat="false" ht="12.8" hidden="false" customHeight="false" outlineLevel="0" collapsed="false">
      <c r="B8" s="8" t="n">
        <v>4</v>
      </c>
      <c r="C8" s="9" t="n">
        <f aca="false">IF(I7&lt;0,C7,G7)</f>
        <v>0.008125</v>
      </c>
      <c r="D8" s="9" t="n">
        <f aca="false">IF(I7&lt;0,G7,D7)</f>
        <v>0.00825</v>
      </c>
      <c r="E8" s="9" t="n">
        <f aca="false">(q / (2*PI())) * ((1/(k*(r_w+C8))+(1/h)*(-1/(r_w+C8)^2)))</f>
        <v>-14.6637253911721</v>
      </c>
      <c r="F8" s="9" t="n">
        <f aca="false">(q / (2*PI())) * ((1/(k*(r_w+D8))+(1/h)*(-1/(r_w+D8)^2)))</f>
        <v>28.8151907540593</v>
      </c>
      <c r="G8" s="9" t="n">
        <f aca="false">C8+0.5*(D8-C8)</f>
        <v>0.0081875</v>
      </c>
      <c r="H8" s="9" t="n">
        <f aca="false">(q / (2*PI())) * ((1/(k*(r_w+G8))+(1/h)*(-1/(r_w+G8)^2)))</f>
        <v>7.26740707251725</v>
      </c>
      <c r="I8" s="9" t="n">
        <f aca="false">E8*H8</f>
        <v>-106.567261617255</v>
      </c>
      <c r="J8" s="9" t="n">
        <f aca="false">D8-C8</f>
        <v>0.000125</v>
      </c>
      <c r="K8" s="9" t="n">
        <f aca="false">ABS((G8-G7)/G8)*100</f>
        <v>0.763358778625955</v>
      </c>
    </row>
    <row r="9" customFormat="false" ht="12.8" hidden="false" customHeight="false" outlineLevel="0" collapsed="false">
      <c r="B9" s="8" t="n">
        <v>5</v>
      </c>
      <c r="C9" s="9" t="n">
        <f aca="false">IF(I8&lt;0,C8,G8)</f>
        <v>0.008125</v>
      </c>
      <c r="D9" s="9" t="n">
        <f aca="false">IF(I8&lt;0,G8,D8)</f>
        <v>0.0081875</v>
      </c>
      <c r="E9" s="9" t="n">
        <f aca="false">(q / (2*PI())) * ((1/(k*(r_w+C9))+(1/h)*(-1/(r_w+C9)^2)))</f>
        <v>-14.6637253911721</v>
      </c>
      <c r="F9" s="9" t="n">
        <f aca="false">(q / (2*PI())) * ((1/(k*(r_w+D9))+(1/h)*(-1/(r_w+D9)^2)))</f>
        <v>7.26740707251725</v>
      </c>
      <c r="G9" s="9" t="n">
        <f aca="false">C9+0.5*(D9-C9)</f>
        <v>0.00815625</v>
      </c>
      <c r="H9" s="9" t="n">
        <f aca="false">(q / (2*PI())) * ((1/(k*(r_w+G9))+(1/h)*(-1/(r_w+G9)^2)))</f>
        <v>-3.64976408480971</v>
      </c>
      <c r="I9" s="9" t="n">
        <f aca="false">E9*H9</f>
        <v>53.5191382822124</v>
      </c>
      <c r="J9" s="9" t="n">
        <f aca="false">D9-C9</f>
        <v>6.25000000000001E-005</v>
      </c>
      <c r="K9" s="9" t="n">
        <f aca="false">ABS((G9-G8)/G9)*100</f>
        <v>0.383141762452108</v>
      </c>
    </row>
    <row r="10" customFormat="false" ht="12.8" hidden="false" customHeight="false" outlineLevel="0" collapsed="false">
      <c r="B10" s="8" t="n">
        <v>6</v>
      </c>
      <c r="C10" s="9" t="n">
        <f aca="false">IF(I9&lt;0,C9,G9)</f>
        <v>0.00815625</v>
      </c>
      <c r="D10" s="9" t="n">
        <f aca="false">IF(I9&lt;0,G9,D9)</f>
        <v>0.0081875</v>
      </c>
      <c r="E10" s="9" t="n">
        <f aca="false">(q / (2*PI())) * ((1/(k*(r_w+C10))+(1/h)*(-1/(r_w+C10)^2)))</f>
        <v>-3.64976408480971</v>
      </c>
      <c r="F10" s="9" t="n">
        <f aca="false">(q / (2*PI())) * ((1/(k*(r_w+D10))+(1/h)*(-1/(r_w+D10)^2)))</f>
        <v>7.26740707251725</v>
      </c>
      <c r="G10" s="9" t="n">
        <f aca="false">C10+0.5*(D10-C10)</f>
        <v>0.008171875</v>
      </c>
      <c r="H10" s="9" t="n">
        <f aca="false">(q / (2*PI())) * ((1/(k*(r_w+G10))+(1/h)*(-1/(r_w+G10)^2)))</f>
        <v>1.82086026502088</v>
      </c>
      <c r="I10" s="9" t="n">
        <f aca="false">E10*H10</f>
        <v>-6.64571039873029</v>
      </c>
      <c r="J10" s="9" t="n">
        <f aca="false">D10-C10</f>
        <v>3.125E-005</v>
      </c>
      <c r="K10" s="9" t="n">
        <f aca="false">ABS((G10-G9)/G10)*100</f>
        <v>0.191204588910134</v>
      </c>
    </row>
    <row r="11" customFormat="false" ht="12.8" hidden="false" customHeight="false" outlineLevel="0" collapsed="false">
      <c r="B11" s="8" t="n">
        <v>7</v>
      </c>
      <c r="C11" s="9" t="n">
        <f aca="false">IF(I10&lt;0,C10,G10)</f>
        <v>0.00815625</v>
      </c>
      <c r="D11" s="9" t="n">
        <f aca="false">IF(I10&lt;0,G10,D10)</f>
        <v>0.008171875</v>
      </c>
      <c r="E11" s="9" t="n">
        <f aca="false">(q / (2*PI())) * ((1/(k*(r_w+C11))+(1/h)*(-1/(r_w+C11)^2)))</f>
        <v>-3.64976408480971</v>
      </c>
      <c r="F11" s="9" t="n">
        <f aca="false">(q / (2*PI())) * ((1/(k*(r_w+D11))+(1/h)*(-1/(r_w+D11)^2)))</f>
        <v>1.82086026502088</v>
      </c>
      <c r="G11" s="9" t="n">
        <f aca="false">C11+0.5*(D11-C11)</f>
        <v>0.0081640625</v>
      </c>
      <c r="H11" s="9" t="n">
        <f aca="false">(q / (2*PI())) * ((1/(k*(r_w+G11))+(1/h)*(-1/(r_w+G11)^2)))</f>
        <v>-0.911434744994485</v>
      </c>
      <c r="I11" s="9" t="n">
        <f aca="false">E11*H11</f>
        <v>3.32652179792857</v>
      </c>
      <c r="J11" s="9" t="n">
        <f aca="false">D11-C11</f>
        <v>1.5625E-005</v>
      </c>
      <c r="K11" s="9" t="n">
        <f aca="false">ABS((G11-G10)/G11)*100</f>
        <v>0.0956937799043169</v>
      </c>
    </row>
    <row r="12" customFormat="false" ht="12.8" hidden="false" customHeight="false" outlineLevel="0" collapsed="false">
      <c r="B12" s="8" t="n">
        <v>8</v>
      </c>
      <c r="C12" s="9" t="n">
        <f aca="false">IF(I11&lt;0,C11,G11)</f>
        <v>0.0081640625</v>
      </c>
      <c r="D12" s="9" t="n">
        <f aca="false">IF(I11&lt;0,G11,D11)</f>
        <v>0.008171875</v>
      </c>
      <c r="E12" s="9" t="n">
        <f aca="false">(q / (2*PI())) * ((1/(k*(r_w+C12))+(1/h)*(-1/(r_w+C12)^2)))</f>
        <v>-0.911434744994485</v>
      </c>
      <c r="F12" s="9" t="n">
        <f aca="false">(q / (2*PI())) * ((1/(k*(r_w+D12))+(1/h)*(-1/(r_w+D12)^2)))</f>
        <v>1.82086026502088</v>
      </c>
      <c r="G12" s="9" t="n">
        <f aca="false">C12+0.5*(D12-C12)</f>
        <v>0.00816796875</v>
      </c>
      <c r="H12" s="9" t="n">
        <f aca="false">(q / (2*PI())) * ((1/(k*(r_w+G12))+(1/h)*(-1/(r_w+G12)^2)))</f>
        <v>0.45546611550839</v>
      </c>
      <c r="I12" s="9" t="n">
        <f aca="false">E12*H12</f>
        <v>-0.415127642842018</v>
      </c>
      <c r="J12" s="9" t="n">
        <f aca="false">D12-C12</f>
        <v>7.81250000000087E-006</v>
      </c>
      <c r="K12" s="9" t="n">
        <f aca="false">ABS((G12-G11)/G12)*100</f>
        <v>0.0478240076518572</v>
      </c>
    </row>
    <row r="13" customFormat="false" ht="12.8" hidden="false" customHeight="false" outlineLevel="0" collapsed="false">
      <c r="B13" s="8" t="n">
        <v>9</v>
      </c>
      <c r="C13" s="9" t="n">
        <f aca="false">IF(I12&lt;0,C12,G12)</f>
        <v>0.0081640625</v>
      </c>
      <c r="D13" s="9" t="n">
        <f aca="false">IF(I12&lt;0,G12,D12)</f>
        <v>0.00816796875</v>
      </c>
      <c r="E13" s="9" t="n">
        <f aca="false">(q / (2*PI())) * ((1/(k*(r_w+C13))+(1/h)*(-1/(r_w+C13)^2)))</f>
        <v>-0.911434744994485</v>
      </c>
      <c r="F13" s="9" t="n">
        <f aca="false">(q / (2*PI())) * ((1/(k*(r_w+D13))+(1/h)*(-1/(r_w+D13)^2)))</f>
        <v>0.45546611550839</v>
      </c>
      <c r="G13" s="9" t="n">
        <f aca="false">C13+0.5*(D13-C13)</f>
        <v>0.008166015625</v>
      </c>
      <c r="H13" s="9" t="n">
        <f aca="false">(q / (2*PI())) * ((1/(k*(r_w+G13))+(1/h)*(-1/(r_w+G13)^2)))</f>
        <v>-0.227795859010751</v>
      </c>
      <c r="I13" s="9" t="n">
        <f aca="false">E13*H13</f>
        <v>0.207621060668263</v>
      </c>
      <c r="J13" s="9" t="n">
        <f aca="false">D13-C13</f>
        <v>3.9062500000013E-006</v>
      </c>
      <c r="K13" s="9" t="n">
        <f aca="false">ABS((G13-G12)/G13)*100</f>
        <v>0.0239177230327753</v>
      </c>
    </row>
    <row r="14" customFormat="false" ht="12.8" hidden="false" customHeight="false" outlineLevel="0" collapsed="false">
      <c r="B14" s="8" t="n">
        <v>10</v>
      </c>
      <c r="C14" s="9" t="n">
        <f aca="false">IF(I13&lt;0,C13,G13)</f>
        <v>0.008166015625</v>
      </c>
      <c r="D14" s="9" t="n">
        <f aca="false">IF(I13&lt;0,G13,D13)</f>
        <v>0.00816796875</v>
      </c>
      <c r="E14" s="9" t="n">
        <f aca="false">(q / (2*PI())) * ((1/(k*(r_w+C14))+(1/h)*(-1/(r_w+C14)^2)))</f>
        <v>-0.227795859010751</v>
      </c>
      <c r="F14" s="9" t="n">
        <f aca="false">(q / (2*PI())) * ((1/(k*(r_w+D14))+(1/h)*(-1/(r_w+D14)^2)))</f>
        <v>0.45546611550839</v>
      </c>
      <c r="G14" s="9" t="n">
        <f aca="false">C14+0.5*(D14-C14)</f>
        <v>0.0081669921875</v>
      </c>
      <c r="H14" s="9" t="n">
        <f aca="false">(q / (2*PI())) * ((1/(k*(r_w+G14))+(1/h)*(-1/(r_w+G14)^2)))</f>
        <v>0.113882227567627</v>
      </c>
      <c r="I14" s="9" t="n">
        <f aca="false">E14*H14</f>
        <v>-0.0259418998548253</v>
      </c>
      <c r="J14" s="9" t="n">
        <f aca="false">D14-C14</f>
        <v>1.95312500000065E-006</v>
      </c>
      <c r="K14" s="9" t="n">
        <f aca="false">ABS((G14-G13)/G14)*100</f>
        <v>0.0119574315436978</v>
      </c>
    </row>
    <row r="15" customFormat="false" ht="12.8" hidden="false" customHeight="false" outlineLevel="0" collapsed="false">
      <c r="B15" s="8" t="n">
        <v>11</v>
      </c>
      <c r="C15" s="9" t="n">
        <f aca="false">IF(I14&lt;0,C14,G14)</f>
        <v>0.008166015625</v>
      </c>
      <c r="D15" s="9" t="n">
        <f aca="false">IF(I14&lt;0,G14,D14)</f>
        <v>0.0081669921875</v>
      </c>
      <c r="E15" s="9" t="n">
        <f aca="false">(q / (2*PI())) * ((1/(k*(r_w+C15))+(1/h)*(-1/(r_w+C15)^2)))</f>
        <v>-0.227795859010751</v>
      </c>
      <c r="F15" s="9" t="n">
        <f aca="false">(q / (2*PI())) * ((1/(k*(r_w+D15))+(1/h)*(-1/(r_w+D15)^2)))</f>
        <v>0.113882227567627</v>
      </c>
      <c r="G15" s="9" t="n">
        <f aca="false">C15+0.5*(D15-C15)</f>
        <v>0.00816650390625</v>
      </c>
      <c r="H15" s="9" t="n">
        <f aca="false">(q / (2*PI())) * ((1/(k*(r_w+G15))+(1/h)*(-1/(r_w+G15)^2)))</f>
        <v>-0.056945039065628</v>
      </c>
      <c r="I15" s="9" t="n">
        <f aca="false">E15*H15</f>
        <v>0.0129718440903555</v>
      </c>
      <c r="J15" s="9" t="n">
        <f aca="false">D15-C15</f>
        <v>9.76562499999459E-007</v>
      </c>
      <c r="K15" s="9" t="n">
        <f aca="false">ABS((G15-G14)/G15)*100</f>
        <v>0.0059790732436333</v>
      </c>
    </row>
    <row r="16" customFormat="false" ht="12.8" hidden="false" customHeight="false" outlineLevel="0" collapsed="false">
      <c r="B16" s="8" t="n">
        <v>12</v>
      </c>
      <c r="C16" s="9" t="n">
        <f aca="false">IF(I15&lt;0,C15,G15)</f>
        <v>0.00816650390625</v>
      </c>
      <c r="D16" s="9" t="n">
        <f aca="false">IF(I15&lt;0,G15,D15)</f>
        <v>0.0081669921875</v>
      </c>
      <c r="E16" s="9" t="n">
        <f aca="false">(q / (2*PI())) * ((1/(k*(r_w+C16))+(1/h)*(-1/(r_w+C16)^2)))</f>
        <v>-0.056945039065628</v>
      </c>
      <c r="F16" s="9" t="n">
        <f aca="false">(q / (2*PI())) * ((1/(k*(r_w+D16))+(1/h)*(-1/(r_w+D16)^2)))</f>
        <v>0.113882227567627</v>
      </c>
      <c r="G16" s="10" t="n">
        <f aca="false">C16+0.5*(D16-C16)</f>
        <v>0.008166748046875</v>
      </c>
      <c r="H16" s="9" t="n">
        <f aca="false">(q / (2*PI())) * ((1/(k*(r_w+G16))+(1/h)*(-1/(r_w+G16)^2)))</f>
        <v>0.0284715381870007</v>
      </c>
      <c r="I16" s="9" t="n">
        <f aca="false">E16*H16</f>
        <v>-0.00162131285431728</v>
      </c>
      <c r="J16" s="9" t="n">
        <f aca="false">D16-C16</f>
        <v>4.88281249998862E-007</v>
      </c>
      <c r="K16" s="9" t="n">
        <f aca="false">ABS((G16-G15)/G16)*100</f>
        <v>0.00298944725119629</v>
      </c>
    </row>
    <row r="17" customFormat="false" ht="12.8" hidden="false" customHeight="false" outlineLevel="0" collapsed="false">
      <c r="H1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1" min="1" style="1" width="4.5"/>
    <col collapsed="false" customWidth="false" hidden="false" outlineLevel="0" max="3" min="2" style="1" width="10.7"/>
    <col collapsed="false" customWidth="true" hidden="false" outlineLevel="0" max="4" min="4" style="1" width="4.5"/>
    <col collapsed="false" customWidth="false" hidden="false" outlineLevel="0" max="5" min="5" style="1" width="10.7"/>
    <col collapsed="false" customWidth="false" hidden="false" outlineLevel="0" max="6" min="6" style="2" width="10.7"/>
    <col collapsed="false" customWidth="true" hidden="false" outlineLevel="0" max="7" min="7" style="2" width="4.5"/>
    <col collapsed="false" customWidth="false" hidden="false" outlineLevel="0" max="9" min="8" style="1" width="10.7"/>
    <col collapsed="false" customWidth="true" hidden="false" outlineLevel="0" max="10" min="10" style="1" width="4.5"/>
    <col collapsed="false" customWidth="false" hidden="false" outlineLevel="0" max="16384" min="11" style="1" width="10.7"/>
  </cols>
  <sheetData>
    <row r="1" customFormat="false" ht="12.75" hidden="false" customHeight="true" outlineLevel="0" collapsed="false">
      <c r="G1" s="1"/>
    </row>
    <row r="2" customFormat="false" ht="12.75" hidden="false" customHeight="true" outlineLevel="0" collapsed="false">
      <c r="B2" s="3" t="s">
        <v>21</v>
      </c>
      <c r="G2" s="1"/>
    </row>
    <row r="3" customFormat="false" ht="12.75" hidden="false" customHeight="true" outlineLevel="0" collapsed="false">
      <c r="G3" s="1"/>
    </row>
    <row r="4" customFormat="false" ht="12.75" hidden="false" customHeight="true" outlineLevel="0" collapsed="false">
      <c r="A4" s="2"/>
      <c r="B4" s="4" t="s">
        <v>22</v>
      </c>
      <c r="C4" s="4" t="s">
        <v>23</v>
      </c>
      <c r="D4" s="2"/>
      <c r="E4" s="4" t="s">
        <v>22</v>
      </c>
      <c r="F4" s="4" t="s">
        <v>23</v>
      </c>
      <c r="H4" s="4" t="s">
        <v>22</v>
      </c>
      <c r="I4" s="4" t="s">
        <v>23</v>
      </c>
      <c r="K4" s="4" t="s">
        <v>22</v>
      </c>
      <c r="L4" s="4" t="s">
        <v>23</v>
      </c>
    </row>
    <row r="5" s="1" customFormat="true" ht="12.75" hidden="false" customHeight="true" outlineLevel="0" collapsed="false">
      <c r="B5" s="1" t="n">
        <v>0.008</v>
      </c>
      <c r="C5" s="2" t="e">
        <f aca="false">r_w-SQRT((h/k)*(r_w-B5))</f>
        <v>#VALUE!</v>
      </c>
      <c r="E5" s="11" t="n">
        <v>0.008</v>
      </c>
      <c r="F5" s="11" t="n">
        <f aca="false">r_w-((h/k)*(r_w-E5)^2)</f>
        <v>0.00571764705882353</v>
      </c>
      <c r="H5" s="11" t="n">
        <v>0.008</v>
      </c>
      <c r="I5" s="11" t="n">
        <f aca="false">((1/(k*(r_w+H5))+(1/h)*(-1/(r_w+H5)^2)))+H5</f>
        <v>-4.9940008003201</v>
      </c>
      <c r="K5" s="12" t="n">
        <f aca="false">k / h - r_w</f>
        <v>0.00816666666666667</v>
      </c>
      <c r="L5" s="13" t="n">
        <f aca="false">(q / (2*PI())) * ((1/(k*(r_w+K5))+(1/h)*(-1/(r_w+K5)^2)))</f>
        <v>0</v>
      </c>
    </row>
    <row r="6" s="1" customFormat="true" ht="12.75" hidden="false" customHeight="true" outlineLevel="0" collapsed="false">
      <c r="E6" s="11" t="n">
        <f aca="false">F5</f>
        <v>0.00571764705882353</v>
      </c>
      <c r="F6" s="11" t="n">
        <f aca="false">r_w-((h/k)*(r_w-E6)^2)</f>
        <v>0.0059943724811724</v>
      </c>
      <c r="H6" s="11" t="n">
        <f aca="false">I5</f>
        <v>-4.9940008003201</v>
      </c>
      <c r="I6" s="11" t="n">
        <f aca="false">((1/(k*(r_w+H6))+(1/h)*(-1/(r_w+H6)^2)))+H6</f>
        <v>-6.17665091156606</v>
      </c>
    </row>
    <row r="7" s="1" customFormat="true" ht="12.75" hidden="false" customHeight="true" outlineLevel="0" collapsed="false">
      <c r="E7" s="11" t="n">
        <f aca="false">F6</f>
        <v>0.0059943724811724</v>
      </c>
      <c r="F7" s="11" t="n">
        <f aca="false">r_w-((h/k)*(r_w-E7)^2)</f>
        <v>0.00599999776454342</v>
      </c>
      <c r="H7" s="11" t="n">
        <f aca="false">I6</f>
        <v>-6.17665091156606</v>
      </c>
      <c r="I7" s="11" t="n">
        <f aca="false">((1/(k*(r_w+H7))+(1/h)*(-1/(r_w+H7)^2)))+H7</f>
        <v>-7.13211862701883</v>
      </c>
    </row>
    <row r="8" customFormat="false" ht="12.75" hidden="false" customHeight="true" outlineLevel="0" collapsed="false">
      <c r="B8" s="14"/>
      <c r="C8" s="14"/>
      <c r="E8" s="11" t="n">
        <f aca="false">F7</f>
        <v>0.00599999776454342</v>
      </c>
      <c r="F8" s="11" t="n">
        <f aca="false">r_w-((h/k)*(r_w-E8)^2)</f>
        <v>0.00599999999999965</v>
      </c>
      <c r="H8" s="11" t="n">
        <f aca="false">I7</f>
        <v>-7.13211862701883</v>
      </c>
      <c r="I8" s="11" t="n">
        <f aca="false">((1/(k*(r_w+H8))+(1/h)*(-1/(r_w+H8)^2)))+H8</f>
        <v>-7.9592234396288</v>
      </c>
    </row>
    <row r="9" customFormat="false" ht="12.75" hidden="false" customHeight="true" outlineLevel="0" collapsed="false">
      <c r="E9" s="11" t="n">
        <f aca="false">F8</f>
        <v>0.00599999999999965</v>
      </c>
      <c r="F9" s="11" t="n">
        <f aca="false">r_w-((h/k)*(r_w-E9)^2)</f>
        <v>0.006</v>
      </c>
      <c r="H9" s="11" t="n">
        <f aca="false">I8</f>
        <v>-7.9592234396288</v>
      </c>
      <c r="I9" s="11" t="n">
        <f aca="false">((1/(k*(r_w+H9))+(1/h)*(-1/(r_w+H9)^2)))+H9</f>
        <v>-8.7001596044148</v>
      </c>
    </row>
    <row r="10" customFormat="false" ht="12.75" hidden="false" customHeight="true" outlineLevel="0" collapsed="false">
      <c r="E10" s="11" t="n">
        <f aca="false">F9</f>
        <v>0.006</v>
      </c>
      <c r="F10" s="11" t="n">
        <f aca="false">r_w-((h/k)*(r_w-E10)^2)</f>
        <v>0.006</v>
      </c>
      <c r="H10" s="11" t="n">
        <f aca="false">I9</f>
        <v>-8.7001596044148</v>
      </c>
      <c r="I10" s="11" t="n">
        <f aca="false">((1/(k*(r_w+H10))+(1/h)*(-1/(r_w+H10)^2)))+H10</f>
        <v>-9.37784878747699</v>
      </c>
    </row>
    <row r="11" customFormat="false" ht="12.75" hidden="false" customHeight="true" outlineLevel="0" collapsed="false">
      <c r="E11" s="11" t="n">
        <f aca="false">F10</f>
        <v>0.006</v>
      </c>
      <c r="F11" s="11" t="n">
        <f aca="false">r_w-((h/k)*(r_w-E11)^2)</f>
        <v>0.006</v>
      </c>
      <c r="H11" s="11" t="n">
        <f aca="false">I10</f>
        <v>-9.37784878747699</v>
      </c>
      <c r="I11" s="11" t="n">
        <f aca="false">((1/(k*(r_w+H11))+(1/h)*(-1/(r_w+H11)^2)))+H11</f>
        <v>-10.006459529336</v>
      </c>
    </row>
    <row r="12" customFormat="false" ht="12.75" hidden="false" customHeight="true" outlineLevel="0" collapsed="false">
      <c r="H12" s="11" t="n">
        <f aca="false">I11</f>
        <v>-10.006459529336</v>
      </c>
      <c r="I12" s="11" t="n">
        <f aca="false">((1/(k*(r_w+H12))+(1/h)*(-1/(r_w+H12)^2)))+H12</f>
        <v>-10.5955010503087</v>
      </c>
    </row>
    <row r="13" customFormat="false" ht="12.75" hidden="false" customHeight="true" outlineLevel="0" collapsed="false">
      <c r="H13" s="11" t="n">
        <f aca="false">I12</f>
        <v>-10.5955010503087</v>
      </c>
      <c r="I13" s="11" t="n">
        <f aca="false">((1/(k*(r_w+H13))+(1/h)*(-1/(r_w+H13)^2)))+H13</f>
        <v>-11.1517333357416</v>
      </c>
    </row>
    <row r="14" customFormat="false" ht="12.75" hidden="false" customHeight="true" outlineLevel="0" collapsed="false">
      <c r="H14" s="11" t="n">
        <f aca="false">I13</f>
        <v>-11.1517333357416</v>
      </c>
      <c r="I14" s="11" t="n">
        <f aca="false">((1/(k*(r_w+H14))+(1/h)*(-1/(r_w+H14)^2)))+H14</f>
        <v>-11.6801713905874</v>
      </c>
    </row>
    <row r="15" customFormat="false" ht="12.75" hidden="false" customHeight="true" outlineLevel="0" collapsed="false">
      <c r="H15" s="11" t="n">
        <f aca="false">I14</f>
        <v>-11.6801713905874</v>
      </c>
      <c r="I15" s="11" t="n">
        <f aca="false">((1/(k*(r_w+H15))+(1/h)*(-1/(r_w+H15)^2)))+H15</f>
        <v>-12.1846604039398</v>
      </c>
    </row>
    <row r="16" customFormat="false" ht="12.75" hidden="false" customHeight="true" outlineLevel="0" collapsed="false">
      <c r="H16" s="11" t="n">
        <f aca="false">I15</f>
        <v>-12.1846604039398</v>
      </c>
      <c r="I16" s="11" t="n">
        <f aca="false">((1/(k*(r_w+H16))+(1/h)*(-1/(r_w+H16)^2)))+H16</f>
        <v>-12.6682271769345</v>
      </c>
    </row>
    <row r="17" customFormat="false" ht="12.75" hidden="false" customHeight="true" outlineLevel="0" collapsed="false">
      <c r="H17" s="11" t="n">
        <f aca="false">I16</f>
        <v>-12.6682271769345</v>
      </c>
      <c r="I17" s="11" t="n">
        <f aca="false">((1/(k*(r_w+H17))+(1/h)*(-1/(r_w+H17)^2)))+H17</f>
        <v>-13.1333060380932</v>
      </c>
    </row>
    <row r="18" customFormat="false" ht="12.75" hidden="false" customHeight="true" outlineLevel="0" collapsed="false">
      <c r="H18" s="11" t="n">
        <f aca="false">I17</f>
        <v>-13.1333060380932</v>
      </c>
      <c r="I18" s="11" t="n">
        <f aca="false">((1/(k*(r_w+H18))+(1/h)*(-1/(r_w+H18)^2)))+H18</f>
        <v>-13.5818901584824</v>
      </c>
    </row>
    <row r="19" customFormat="false" ht="12.75" hidden="false" customHeight="true" outlineLevel="0" collapsed="false">
      <c r="H19" s="11" t="n">
        <f aca="false">I18</f>
        <v>-13.5818901584824</v>
      </c>
      <c r="I19" s="11" t="n">
        <f aca="false">((1/(k*(r_w+H19))+(1/h)*(-1/(r_w+H19)^2)))+H19</f>
        <v>-14.0156363957711</v>
      </c>
    </row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9921875" defaultRowHeight="12.75" zeroHeight="false" outlineLevelRow="0" outlineLevelCol="0"/>
  <cols>
    <col collapsed="false" customWidth="true" hidden="false" outlineLevel="0" max="2" min="1" style="1" width="4.5"/>
    <col collapsed="false" customWidth="false" hidden="false" outlineLevel="0" max="7" min="3" style="1" width="10.7"/>
    <col collapsed="false" customWidth="false" hidden="false" outlineLevel="0" max="9" min="8" style="15" width="10.7"/>
    <col collapsed="false" customWidth="false" hidden="false" outlineLevel="0" max="16382" min="10" style="1" width="10.7"/>
    <col collapsed="false" customWidth="true" hidden="false" outlineLevel="0" max="16384" min="16383" style="1" width="10.16"/>
  </cols>
  <sheetData>
    <row r="2" customFormat="false" ht="12.75" hidden="false" customHeight="true" outlineLevel="0" collapsed="false">
      <c r="B2" s="3" t="s">
        <v>24</v>
      </c>
    </row>
    <row r="4" customFormat="false" ht="12.75" hidden="false" customHeight="true" outlineLevel="0" collapsed="false">
      <c r="B4" s="4" t="s">
        <v>11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</row>
    <row r="5" customFormat="false" ht="12.75" hidden="false" customHeight="true" outlineLevel="0" collapsed="false">
      <c r="B5" s="1" t="n">
        <v>0</v>
      </c>
      <c r="C5" s="16" t="n">
        <v>0.008</v>
      </c>
      <c r="D5" s="16" t="n">
        <f aca="false">((1/(k*(r_w+C5))+(1/h)*(-1/(r_w+C5)^2)))</f>
        <v>-5.0020008003201</v>
      </c>
      <c r="E5" s="16" t="n">
        <f aca="false">(-1 / (k*(r_w+C5)^2))  +  (2 / (h*(r_w+C5)^3))</f>
        <v>30726.5763448236</v>
      </c>
      <c r="F5" s="16" t="n">
        <f aca="false">C5-D5/E5</f>
        <v>0.00816279069767442</v>
      </c>
      <c r="G5" s="16" t="n">
        <f aca="false">ABS((F5-C5)/F5)*100</f>
        <v>1.99430199430198</v>
      </c>
    </row>
    <row r="6" customFormat="false" ht="12.75" hidden="false" customHeight="true" outlineLevel="0" collapsed="false">
      <c r="B6" s="1" t="n">
        <v>1</v>
      </c>
      <c r="C6" s="16" t="n">
        <f aca="false">F5</f>
        <v>0.00816279069767442</v>
      </c>
      <c r="D6" s="16" t="n">
        <f aca="false">((1/(k*(r_w+C6))+(1/h)*(-1/(r_w+C6)^2)))</f>
        <v>-0.113666816971261</v>
      </c>
      <c r="E6" s="16" t="n">
        <f aca="false">(-1 / (k*(r_w+C6)^2))  +  (2 / (h*(r_w+C6)^3))</f>
        <v>29342.0902502618</v>
      </c>
      <c r="F6" s="16" t="n">
        <f aca="false">C6-D6/E6</f>
        <v>0.00816666454633352</v>
      </c>
      <c r="G6" s="16" t="n">
        <f aca="false">ABS((F6-C6)/F6)*100</f>
        <v>0.0474348938556804</v>
      </c>
    </row>
    <row r="7" customFormat="false" ht="12.75" hidden="false" customHeight="true" outlineLevel="0" collapsed="false">
      <c r="B7" s="1" t="n">
        <v>2</v>
      </c>
      <c r="C7" s="16" t="n">
        <f aca="false">F6</f>
        <v>0.00816666454633352</v>
      </c>
      <c r="D7" s="16" t="n">
        <f aca="false">((1/(k*(r_w+C7))+(1/h)*(-1/(r_w+C7)^2)))</f>
        <v>-6.21469702082322E-005</v>
      </c>
      <c r="E7" s="16" t="n">
        <f aca="false">(-1 / (k*(r_w+C7)^2))  +  (2 / (h*(r_w+C7)^3))</f>
        <v>29310.0114411317</v>
      </c>
      <c r="F7" s="16" t="n">
        <f aca="false">C7-D7/E7</f>
        <v>0.00816666666666603</v>
      </c>
      <c r="G7" s="16" t="n">
        <f aca="false">ABS((F7-C7)/F7)*100</f>
        <v>2.59632552489619E-005</v>
      </c>
    </row>
    <row r="8" customFormat="false" ht="12.75" hidden="false" customHeight="true" outlineLevel="0" collapsed="false">
      <c r="B8" s="1" t="n">
        <v>3</v>
      </c>
      <c r="C8" s="16" t="n">
        <f aca="false">F7</f>
        <v>0.00816666666666603</v>
      </c>
      <c r="D8" s="16" t="n">
        <f aca="false">((1/(k*(r_w+C8))+(1/h)*(-1/(r_w+C8)^2)))</f>
        <v>-1.85877979674842E-011</v>
      </c>
      <c r="E8" s="16" t="n">
        <f aca="false">(-1 / (k*(r_w+C8)^2))  +  (2 / (h*(r_w+C8)^3))</f>
        <v>29309.9938937565</v>
      </c>
      <c r="F8" s="16" t="n">
        <f aca="false">C8-D8/E8</f>
        <v>0.00816666666666667</v>
      </c>
      <c r="G8" s="16" t="n">
        <f aca="false">ABS((F8-C8)/F8)*100</f>
        <v>7.77439337396953E-012</v>
      </c>
    </row>
    <row r="9" customFormat="false" ht="12.75" hidden="false" customHeight="true" outlineLevel="0" collapsed="false">
      <c r="B9" s="1" t="n">
        <v>4</v>
      </c>
      <c r="C9" s="16" t="n">
        <f aca="false">F8</f>
        <v>0.00816666666666667</v>
      </c>
      <c r="D9" s="16" t="n">
        <f aca="false">((1/(k*(r_w+C9))+(1/h)*(-1/(r_w+C9)^2)))</f>
        <v>0</v>
      </c>
      <c r="E9" s="16" t="n">
        <f aca="false">(-1 / (k*(r_w+C9)^2))  +  (2 / (h*(r_w+C9)^3))</f>
        <v>29309.9938937513</v>
      </c>
      <c r="F9" s="17" t="n">
        <f aca="false">C9-D9/E9</f>
        <v>0.00816666666666667</v>
      </c>
      <c r="G9" s="16" t="n">
        <f aca="false">ABS((F9-C9)/F9)*100</f>
        <v>0</v>
      </c>
    </row>
    <row r="10" customFormat="false" ht="12.75" hidden="false" customHeight="true" outlineLevel="0" collapsed="false">
      <c r="C10" s="16"/>
      <c r="D10" s="16"/>
      <c r="E10" s="16"/>
      <c r="F10" s="16"/>
    </row>
    <row r="11" customFormat="false" ht="12.75" hidden="false" customHeight="true" outlineLevel="0" collapsed="false">
      <c r="C11" s="16"/>
      <c r="D11" s="16"/>
      <c r="E11" s="16"/>
      <c r="F11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2" min="1" style="1" width="4.5"/>
    <col collapsed="false" customWidth="false" hidden="false" outlineLevel="0" max="7" min="3" style="1" width="10.7"/>
    <col collapsed="false" customWidth="false" hidden="false" outlineLevel="0" max="16382" min="8" style="15" width="10.7"/>
    <col collapsed="false" customWidth="true" hidden="false" outlineLevel="0" max="16384" min="16383" style="15" width="10.16"/>
  </cols>
  <sheetData>
    <row r="1" customFormat="false" ht="12.8" hidden="false" customHeight="false" outlineLevel="0" collapsed="false">
      <c r="C1" s="16"/>
      <c r="D1" s="16"/>
      <c r="E1" s="16"/>
      <c r="F1" s="16"/>
    </row>
    <row r="2" customFormat="false" ht="12.8" hidden="false" customHeight="false" outlineLevel="0" collapsed="false">
      <c r="B2" s="3" t="s">
        <v>30</v>
      </c>
      <c r="C2" s="16"/>
      <c r="D2" s="16"/>
      <c r="E2" s="16"/>
      <c r="F2" s="16"/>
    </row>
    <row r="3" customFormat="false" ht="12.8" hidden="false" customHeight="false" outlineLevel="0" collapsed="false">
      <c r="C3" s="16"/>
      <c r="D3" s="16"/>
      <c r="E3" s="16"/>
    </row>
    <row r="4" customFormat="false" ht="12.8" hidden="false" customHeight="false" outlineLevel="0" collapsed="false">
      <c r="B4" s="4" t="s">
        <v>11</v>
      </c>
      <c r="C4" s="4" t="s">
        <v>31</v>
      </c>
      <c r="D4" s="4" t="s">
        <v>25</v>
      </c>
      <c r="E4" s="4" t="s">
        <v>32</v>
      </c>
      <c r="F4" s="4" t="s">
        <v>26</v>
      </c>
      <c r="G4" s="4" t="s">
        <v>31</v>
      </c>
      <c r="H4" s="4" t="s">
        <v>29</v>
      </c>
    </row>
    <row r="5" customFormat="false" ht="12.8" hidden="false" customHeight="false" outlineLevel="0" collapsed="false">
      <c r="B5" s="1" t="n">
        <v>0</v>
      </c>
      <c r="C5" s="16" t="n">
        <v>0.008</v>
      </c>
      <c r="D5" s="16" t="n">
        <v>0.01</v>
      </c>
      <c r="E5" s="16" t="n">
        <f aca="false">((1/(k*(r_w+C5))+(1/h)*(-1/(r_w+C5)^2)))</f>
        <v>-5.0020008003201</v>
      </c>
      <c r="F5" s="16" t="n">
        <f aca="false">((1/(k*(r_w+D5))+(1/h)*(-1/(r_w+D5)^2)))</f>
        <v>42.1262254901961</v>
      </c>
      <c r="G5" s="16" t="n">
        <f aca="false">D5-F5*((D5-C5)/(F5-E5))</f>
        <v>0.008212271973466</v>
      </c>
      <c r="H5" s="16" t="n">
        <f aca="false">ABS((G5-D5)/G5)*100</f>
        <v>21.7689822294023</v>
      </c>
    </row>
    <row r="6" customFormat="false" ht="12.8" hidden="false" customHeight="false" outlineLevel="0" collapsed="false">
      <c r="B6" s="1" t="n">
        <v>1</v>
      </c>
      <c r="C6" s="16" t="n">
        <f aca="false">D5</f>
        <v>0.01</v>
      </c>
      <c r="D6" s="16" t="n">
        <f aca="false">G5</f>
        <v>0.008212271973466</v>
      </c>
      <c r="E6" s="16" t="n">
        <f aca="false">((1/(k*(r_w+C6))+(1/h)*(-1/(r_w+C6)^2)))</f>
        <v>42.1262254901961</v>
      </c>
      <c r="F6" s="16" t="n">
        <f aca="false">((1/(k*(r_w+D6))+(1/h)*(-1/(r_w+D6)^2)))</f>
        <v>1.32812649546884</v>
      </c>
      <c r="G6" s="16" t="n">
        <f aca="false">D6-F6*((D6-C6)/(F6-E6))</f>
        <v>0.00815407492465158</v>
      </c>
      <c r="H6" s="16" t="n">
        <f aca="false">ABS((G6-D6)/G6)*100</f>
        <v>0.713717366497149</v>
      </c>
    </row>
    <row r="7" customFormat="false" ht="12.8" hidden="false" customHeight="false" outlineLevel="0" collapsed="false">
      <c r="B7" s="1" t="n">
        <v>2</v>
      </c>
      <c r="C7" s="16" t="n">
        <f aca="false">D6</f>
        <v>0.008212271973466</v>
      </c>
      <c r="D7" s="16" t="n">
        <f aca="false">G6</f>
        <v>0.00815407492465158</v>
      </c>
      <c r="E7" s="16" t="n">
        <f aca="false">((1/(k*(r_w+C7))+(1/h)*(-1/(r_w+C7)^2)))</f>
        <v>1.32812649546884</v>
      </c>
      <c r="F7" s="16" t="n">
        <f aca="false">((1/(k*(r_w+D7))+(1/h)*(-1/(r_w+D7)^2)))</f>
        <v>-0.369720826561149</v>
      </c>
      <c r="G7" s="16" t="n">
        <f aca="false">D7-F7*((D7-C7)/(F7-E7))</f>
        <v>0.0081667478315213</v>
      </c>
      <c r="H7" s="16" t="n">
        <f aca="false">ABS((G7-D7)/G7)*100</f>
        <v>0.155176909231925</v>
      </c>
    </row>
    <row r="8" customFormat="false" ht="12.8" hidden="false" customHeight="false" outlineLevel="0" collapsed="false">
      <c r="B8" s="1" t="n">
        <v>3</v>
      </c>
      <c r="C8" s="16" t="n">
        <f aca="false">D7</f>
        <v>0.00815407492465158</v>
      </c>
      <c r="D8" s="16" t="n">
        <f aca="false">G7</f>
        <v>0.0081667478315213</v>
      </c>
      <c r="E8" s="16" t="n">
        <f aca="false">((1/(k*(r_w+C8))+(1/h)*(-1/(r_w+C8)^2)))</f>
        <v>-0.369720826561149</v>
      </c>
      <c r="F8" s="16" t="n">
        <f aca="false">((1/(k*(r_w+D8))+(1/h)*(-1/(r_w+D8)^2)))</f>
        <v>0.00237891413439684</v>
      </c>
      <c r="G8" s="16" t="n">
        <f aca="false">D8-F8*((D8-C8)/(F8-E8))</f>
        <v>0.00816666681088629</v>
      </c>
      <c r="H8" s="16" t="n">
        <f aca="false">ABS((G8-D8)/G8)*100</f>
        <v>0.000992089390702871</v>
      </c>
    </row>
    <row r="9" customFormat="false" ht="12.8" hidden="false" customHeight="false" outlineLevel="0" collapsed="false">
      <c r="B9" s="1" t="n">
        <v>4</v>
      </c>
      <c r="C9" s="16" t="n">
        <f aca="false">D8</f>
        <v>0.0081667478315213</v>
      </c>
      <c r="D9" s="16" t="n">
        <f aca="false">G8</f>
        <v>0.00816666681088629</v>
      </c>
      <c r="E9" s="16" t="n">
        <f aca="false">((1/(k*(r_w+C9))+(1/h)*(-1/(r_w+C9)^2)))</f>
        <v>0.00237891413439684</v>
      </c>
      <c r="F9" s="16" t="n">
        <f aca="false">((1/(k*(r_w+D9))+(1/h)*(-1/(r_w+D9)^2)))</f>
        <v>4.22707614688989E-006</v>
      </c>
      <c r="G9" s="16" t="n">
        <f aca="false">D9-F9*((D9-C9)/(F9-E9))</f>
        <v>0.00816666666666502</v>
      </c>
      <c r="H9" s="16" t="n">
        <f aca="false">ABS((G9-D9)/G9)*100</f>
        <v>1.76597478137553E-006</v>
      </c>
    </row>
    <row r="10" customFormat="false" ht="12.8" hidden="false" customHeight="false" outlineLevel="0" collapsed="false">
      <c r="B10" s="1" t="n">
        <v>5</v>
      </c>
      <c r="C10" s="16" t="n">
        <f aca="false">D9</f>
        <v>0.00816666681088629</v>
      </c>
      <c r="D10" s="16" t="n">
        <f aca="false">G9</f>
        <v>0.00816666666666502</v>
      </c>
      <c r="E10" s="16" t="n">
        <f aca="false">((1/(k*(r_w+C10))+(1/h)*(-1/(r_w+C10)^2)))</f>
        <v>4.22707614688989E-006</v>
      </c>
      <c r="F10" s="16" t="n">
        <f aca="false">((1/(k*(r_w+D10))+(1/h)*(-1/(r_w+D10)^2)))</f>
        <v>-4.83737494505476E-011</v>
      </c>
      <c r="G10" s="16" t="n">
        <f aca="false">D10-F10*((D10-C10)/(F10-E10))</f>
        <v>0.00816666666666667</v>
      </c>
      <c r="H10" s="16" t="n">
        <f aca="false">ABS((G10-D10)/G10)*100</f>
        <v>2.02006778651503E-011</v>
      </c>
    </row>
    <row r="11" customFormat="false" ht="12.8" hidden="false" customHeight="false" outlineLevel="0" collapsed="false">
      <c r="B11" s="1" t="n">
        <v>6</v>
      </c>
      <c r="C11" s="16" t="n">
        <f aca="false">D10</f>
        <v>0.00816666666666502</v>
      </c>
      <c r="D11" s="16" t="n">
        <f aca="false">G10</f>
        <v>0.00816666666666667</v>
      </c>
      <c r="E11" s="16" t="n">
        <f aca="false">((1/(k*(r_w+C11))+(1/h)*(-1/(r_w+C11)^2)))</f>
        <v>-4.83737494505476E-011</v>
      </c>
      <c r="F11" s="16" t="n">
        <f aca="false">((1/(k*(r_w+D11))+(1/h)*(-1/(r_w+D11)^2)))</f>
        <v>0</v>
      </c>
      <c r="G11" s="17" t="n">
        <f aca="false">D11-F11*((D11-C11)/(F11-E11))</f>
        <v>0.00816666666666667</v>
      </c>
      <c r="H11" s="16" t="n">
        <f aca="false">ABS((G11-D11)/G11)*100</f>
        <v>0</v>
      </c>
    </row>
    <row r="12" customFormat="false" ht="12.8" hidden="false" customHeight="false" outlineLevel="0" collapsed="false">
      <c r="C12" s="16"/>
      <c r="D12" s="16"/>
      <c r="E12" s="16"/>
      <c r="F12" s="16"/>
      <c r="G12" s="16"/>
    </row>
    <row r="13" customFormat="false" ht="12.8" hidden="false" customHeight="false" outlineLevel="0" collapsed="false">
      <c r="C13" s="16"/>
      <c r="D13" s="16"/>
      <c r="E13" s="16"/>
      <c r="F13" s="16"/>
      <c r="G13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0.69921875" defaultRowHeight="12.8" zeroHeight="false" outlineLevelRow="0" outlineLevelCol="0"/>
  <cols>
    <col collapsed="false" customWidth="true" hidden="false" outlineLevel="0" max="1" min="1" style="1" width="4.5"/>
    <col collapsed="false" customWidth="false" hidden="false" outlineLevel="0" max="6" min="2" style="1" width="10.7"/>
    <col collapsed="false" customWidth="true" hidden="false" outlineLevel="0" max="7" min="7" style="1" width="7.66"/>
    <col collapsed="false" customWidth="false" hidden="false" outlineLevel="0" max="9" min="8" style="1" width="10.7"/>
    <col collapsed="false" customWidth="false" hidden="false" outlineLevel="0" max="22" min="10" style="15" width="10.7"/>
    <col collapsed="false" customWidth="false" hidden="false" outlineLevel="0" max="16374" min="23" style="1" width="10.7"/>
    <col collapsed="false" customWidth="true" hidden="false" outlineLevel="0" max="16384" min="16375" style="1" width="10.16"/>
  </cols>
  <sheetData>
    <row r="2" customFormat="false" ht="12.8" hidden="false" customHeight="false" outlineLevel="0" collapsed="false">
      <c r="B2" s="3" t="s">
        <v>33</v>
      </c>
    </row>
    <row r="4" customFormat="false" ht="12.8" hidden="false" customHeight="false" outlineLevel="0" collapsed="false">
      <c r="B4" s="4" t="s">
        <v>34</v>
      </c>
      <c r="C4" s="4" t="s">
        <v>35</v>
      </c>
      <c r="D4" s="4" t="s">
        <v>12</v>
      </c>
      <c r="E4" s="4" t="s">
        <v>13</v>
      </c>
      <c r="F4" s="4" t="s">
        <v>16</v>
      </c>
      <c r="G4" s="4"/>
      <c r="H4" s="4"/>
      <c r="I4" s="4"/>
    </row>
    <row r="5" customFormat="false" ht="12.8" hidden="false" customHeight="false" outlineLevel="0" collapsed="false">
      <c r="B5" s="18" t="n">
        <v>0.001</v>
      </c>
      <c r="C5" s="18" t="n">
        <f aca="false">T_air  +  (q / (2*PI())) * ((1/k)*LN((r_w+B5)/r_w) + (1/h) * (1/(r_w+B5)))</f>
        <v>445.926381882158</v>
      </c>
      <c r="D5" s="18" t="n">
        <f aca="false">B5^2</f>
        <v>1E-006</v>
      </c>
      <c r="E5" s="18" t="n">
        <f aca="false">B5</f>
        <v>0.001</v>
      </c>
      <c r="F5" s="19" t="n">
        <v>1</v>
      </c>
      <c r="G5" s="20" t="s">
        <v>36</v>
      </c>
      <c r="H5" s="19" t="n">
        <f aca="false" t="array" ref="H5:H7">MMULT(MINVERSE(D5:F7),C5:C7)</f>
        <v>510486.895203445</v>
      </c>
      <c r="I5" s="16"/>
    </row>
    <row r="6" customFormat="false" ht="12.8" hidden="false" customHeight="false" outlineLevel="0" collapsed="false">
      <c r="B6" s="18" t="n">
        <v>0.005</v>
      </c>
      <c r="C6" s="18" t="n">
        <f aca="false">T_air  +  (q / (2*PI())) * ((1/k)*LN((r_w+B6)/r_w) + (1/h) * (1/(r_w+B6)))</f>
        <v>425.989022581162</v>
      </c>
      <c r="D6" s="18" t="n">
        <f aca="false">B6^2</f>
        <v>2.5E-005</v>
      </c>
      <c r="E6" s="18" t="n">
        <f aca="false">B6</f>
        <v>0.005</v>
      </c>
      <c r="F6" s="19" t="n">
        <v>1</v>
      </c>
      <c r="G6" s="20" t="s">
        <v>37</v>
      </c>
      <c r="H6" s="19" t="n">
        <v>-8047.26119646965</v>
      </c>
      <c r="I6" s="16"/>
    </row>
    <row r="7" customFormat="false" ht="12.8" hidden="false" customHeight="false" outlineLevel="0" collapsed="false">
      <c r="B7" s="18" t="n">
        <v>0.01</v>
      </c>
      <c r="C7" s="18" t="n">
        <f aca="false">T_air  +  (q / (2*PI())) * ((1/k)*LN((r_w+B7)/r_w) + (1/h) * (1/(r_w+B7)))</f>
        <v>424.039233739072</v>
      </c>
      <c r="D7" s="18" t="n">
        <f aca="false">B7^2</f>
        <v>0.0001</v>
      </c>
      <c r="E7" s="18" t="n">
        <f aca="false">B7</f>
        <v>0.01</v>
      </c>
      <c r="F7" s="19" t="n">
        <v>1</v>
      </c>
      <c r="G7" s="20" t="s">
        <v>38</v>
      </c>
      <c r="H7" s="19" t="n">
        <v>453.463156183424</v>
      </c>
      <c r="I7" s="16"/>
    </row>
    <row r="8" customFormat="false" ht="12.8" hidden="false" customHeight="false" outlineLevel="0" collapsed="false">
      <c r="B8" s="18" t="n">
        <f aca="false">-$H$6/(2*$H$5)</f>
        <v>0.00788194689431015</v>
      </c>
      <c r="C8" s="18" t="n">
        <f aca="false">T_air  +  (q / (2*PI())) * ((1/k)*LN((r_w+B8)/r_w) + (1/h) * (1/(r_w+B8)))</f>
        <v>423.554318880432</v>
      </c>
      <c r="D8" s="21"/>
      <c r="E8" s="21"/>
      <c r="F8" s="21"/>
      <c r="G8" s="21"/>
      <c r="H8" s="21"/>
      <c r="I8" s="16"/>
    </row>
    <row r="9" customFormat="false" ht="12.8" hidden="false" customHeight="false" outlineLevel="0" collapsed="false">
      <c r="B9" s="22" t="n">
        <f aca="false">B6-0.5*(((B6-B5)^2*(C6-C7)-(B6-B7)^2*(C6-C5)) / ((B6-B5)*(C6-C7)-(B6-B7)*(C6-C5)))</f>
        <v>0.00788194689431029</v>
      </c>
      <c r="C9" s="21"/>
      <c r="D9" s="16"/>
      <c r="E9" s="16"/>
      <c r="F9" s="16"/>
      <c r="G9" s="16"/>
      <c r="H9" s="16"/>
      <c r="I9" s="16"/>
    </row>
    <row r="10" customFormat="false" ht="12.8" hidden="false" customHeight="false" outlineLevel="0" collapsed="false">
      <c r="B10" s="21"/>
      <c r="C10" s="21"/>
      <c r="D10" s="16"/>
      <c r="E10" s="16"/>
      <c r="F10" s="16"/>
      <c r="G10" s="16"/>
      <c r="H10" s="16"/>
      <c r="I10" s="16"/>
    </row>
    <row r="11" customFormat="false" ht="12.8" hidden="false" customHeight="false" outlineLevel="0" collapsed="false">
      <c r="B11" s="4" t="s">
        <v>34</v>
      </c>
      <c r="C11" s="4" t="s">
        <v>35</v>
      </c>
      <c r="D11" s="4" t="s">
        <v>12</v>
      </c>
      <c r="E11" s="4" t="s">
        <v>13</v>
      </c>
      <c r="F11" s="4" t="s">
        <v>16</v>
      </c>
      <c r="G11" s="16"/>
      <c r="H11" s="16"/>
      <c r="I11" s="16"/>
    </row>
    <row r="12" customFormat="false" ht="12.8" hidden="false" customHeight="false" outlineLevel="0" collapsed="false">
      <c r="B12" s="16" t="n">
        <f aca="false">$B$8</f>
        <v>0.00788194689431015</v>
      </c>
      <c r="C12" s="16" t="n">
        <f aca="false">$C$8</f>
        <v>423.554318880432</v>
      </c>
      <c r="D12" s="18" t="n">
        <f aca="false">B12^2</f>
        <v>6.21250868447254E-005</v>
      </c>
      <c r="E12" s="19" t="n">
        <f aca="false">B12</f>
        <v>0.00788194689431015</v>
      </c>
      <c r="F12" s="19" t="n">
        <f aca="false">1</f>
        <v>1</v>
      </c>
      <c r="G12" s="20" t="s">
        <v>36</v>
      </c>
      <c r="H12" s="19" t="n">
        <f aca="false" t="array" ref="H12:H14">MMULT(MINVERSE(D12:F14),C12:C14)</f>
        <v>214751.161139987</v>
      </c>
      <c r="I12" s="16"/>
    </row>
    <row r="13" customFormat="false" ht="12.8" hidden="false" customHeight="false" outlineLevel="0" collapsed="false">
      <c r="B13" s="16" t="n">
        <v>0.01</v>
      </c>
      <c r="C13" s="16" t="n">
        <f aca="false">T_air  +  (q / (2*PI())) * ((1/k)*LN((r_w+B13)/r_w) + (1/h) * (1/(r_w+B13)))</f>
        <v>424.039233739072</v>
      </c>
      <c r="D13" s="18" t="n">
        <f aca="false">B13^2</f>
        <v>0.0001</v>
      </c>
      <c r="E13" s="19" t="n">
        <f aca="false">B13</f>
        <v>0.01</v>
      </c>
      <c r="F13" s="19" t="n">
        <f aca="false">1</f>
        <v>1</v>
      </c>
      <c r="G13" s="20" t="s">
        <v>37</v>
      </c>
      <c r="H13" s="19" t="n">
        <v>-3611.22518551786</v>
      </c>
    </row>
    <row r="14" customFormat="false" ht="12.8" hidden="false" customHeight="false" outlineLevel="0" collapsed="false">
      <c r="B14" s="16" t="n">
        <v>0.005</v>
      </c>
      <c r="C14" s="16" t="n">
        <f aca="false">T_air  +  (q / (2*PI())) * ((1/k)*LN((r_w+B14)/r_w) + (1/h) * (1/(r_w+B14)))</f>
        <v>425.989022581162</v>
      </c>
      <c r="D14" s="18" t="n">
        <f aca="false">B14^2</f>
        <v>2.5E-005</v>
      </c>
      <c r="E14" s="19" t="n">
        <f aca="false">B14</f>
        <v>0.005</v>
      </c>
      <c r="F14" s="19" t="n">
        <f aca="false">1</f>
        <v>1</v>
      </c>
      <c r="G14" s="20" t="s">
        <v>38</v>
      </c>
      <c r="H14" s="19" t="n">
        <v>438.676369480251</v>
      </c>
      <c r="I14" s="16"/>
    </row>
    <row r="15" customFormat="false" ht="12.8" hidden="false" customHeight="false" outlineLevel="0" collapsed="false">
      <c r="B15" s="16" t="n">
        <f aca="false">-H13/(2*H12)</f>
        <v>0.00840792935960906</v>
      </c>
      <c r="C15" s="16" t="n">
        <f aca="false">T_air  +  (q / (2*PI())) * ((1/k)*LN((r_w+B15)/r_w) + (1/h) * (1/(r_w+B15)))</f>
        <v>423.549704716554</v>
      </c>
      <c r="D15" s="23"/>
      <c r="E15" s="23"/>
      <c r="F15" s="23"/>
      <c r="G15" s="23"/>
      <c r="H15" s="23"/>
      <c r="I15" s="4"/>
    </row>
    <row r="16" customFormat="false" ht="12.8" hidden="false" customHeight="false" outlineLevel="0" collapsed="false">
      <c r="C16" s="16"/>
      <c r="D16" s="16"/>
      <c r="E16" s="16"/>
      <c r="F16" s="16"/>
      <c r="G16" s="16"/>
      <c r="H16" s="16"/>
      <c r="I16" s="16"/>
    </row>
    <row r="17" customFormat="false" ht="12.8" hidden="false" customHeight="false" outlineLevel="0" collapsed="false">
      <c r="C17" s="16"/>
      <c r="D17" s="16"/>
      <c r="E17" s="16"/>
      <c r="F17" s="16"/>
      <c r="G17" s="16"/>
      <c r="H17" s="16"/>
      <c r="I17" s="16"/>
    </row>
    <row r="18" customFormat="false" ht="12.8" hidden="false" customHeight="false" outlineLevel="0" collapsed="false">
      <c r="B18" s="4" t="s">
        <v>34</v>
      </c>
      <c r="C18" s="4" t="s">
        <v>35</v>
      </c>
      <c r="D18" s="4" t="s">
        <v>12</v>
      </c>
      <c r="E18" s="4" t="s">
        <v>13</v>
      </c>
      <c r="F18" s="4" t="s">
        <v>16</v>
      </c>
      <c r="G18" s="16"/>
      <c r="H18" s="16"/>
      <c r="I18" s="16"/>
    </row>
    <row r="19" customFormat="false" ht="12.8" hidden="false" customHeight="false" outlineLevel="0" collapsed="false">
      <c r="B19" s="16" t="n">
        <f aca="false">$B$15</f>
        <v>0.00840792935960906</v>
      </c>
      <c r="C19" s="16" t="n">
        <f aca="false">$C$15</f>
        <v>423.549704716554</v>
      </c>
      <c r="D19" s="18" t="n">
        <f aca="false">B19^2</f>
        <v>7.0693276116176E-005</v>
      </c>
      <c r="E19" s="18" t="n">
        <f aca="false">B19</f>
        <v>0.00840792935960906</v>
      </c>
      <c r="F19" s="19" t="n">
        <f aca="false">1</f>
        <v>1</v>
      </c>
      <c r="G19" s="20" t="s">
        <v>36</v>
      </c>
      <c r="H19" s="19" t="n">
        <f aca="false" t="array" ref="H19:H21">MMULT(MINVERSE(D19:F21),C19:C21)</f>
        <v>149312.558475301</v>
      </c>
      <c r="I19" s="16"/>
    </row>
    <row r="20" customFormat="false" ht="12.8" hidden="false" customHeight="false" outlineLevel="0" collapsed="false">
      <c r="B20" s="16" t="n">
        <f aca="false">$B$8</f>
        <v>0.00788194689431015</v>
      </c>
      <c r="C20" s="16" t="n">
        <f aca="false">$C$8</f>
        <v>423.554318880432</v>
      </c>
      <c r="D20" s="18" t="n">
        <f aca="false">B20^2</f>
        <v>6.21250868447254E-005</v>
      </c>
      <c r="E20" s="18" t="n">
        <f aca="false">B20</f>
        <v>0.00788194689431015</v>
      </c>
      <c r="F20" s="19" t="n">
        <f aca="false">1</f>
        <v>1</v>
      </c>
      <c r="G20" s="20" t="s">
        <v>37</v>
      </c>
      <c r="H20" s="19" t="n">
        <v>-2441.0555678315</v>
      </c>
      <c r="I20" s="16"/>
    </row>
    <row r="21" customFormat="false" ht="12.8" hidden="false" customHeight="false" outlineLevel="0" collapsed="false">
      <c r="B21" s="16" t="n">
        <v>0.01</v>
      </c>
      <c r="C21" s="16" t="n">
        <f aca="false">T_air  +  (q / (2*PI())) * ((1/k)*LN((r_w+B21)/r_w) + (1/h) * (1/(r_w+B21)))</f>
        <v>424.039233739072</v>
      </c>
      <c r="D21" s="18" t="n">
        <f aca="false">B21^2</f>
        <v>0.0001</v>
      </c>
      <c r="E21" s="18" t="n">
        <f aca="false">B21</f>
        <v>0.01</v>
      </c>
      <c r="F21" s="19" t="n">
        <f aca="false">1</f>
        <v>1</v>
      </c>
      <c r="G21" s="20" t="s">
        <v>38</v>
      </c>
      <c r="H21" s="19" t="n">
        <v>433.518533569837</v>
      </c>
      <c r="I21" s="16"/>
    </row>
    <row r="22" customFormat="false" ht="12.8" hidden="false" customHeight="false" outlineLevel="0" collapsed="false">
      <c r="B22" s="16" t="n">
        <f aca="false">-H20/(2*H19)</f>
        <v>0.00817431431340338</v>
      </c>
      <c r="C22" s="16" t="n">
        <f aca="false">T_air  +  (q / (2*PI())) * ((1/k)*LN((r_w+B22)/r_w) + (1/h) * (1/(r_w+B22)))</f>
        <v>423.53975946362</v>
      </c>
      <c r="D22" s="16"/>
      <c r="E22" s="16"/>
      <c r="F22" s="16"/>
      <c r="G22" s="16"/>
      <c r="H22" s="16"/>
      <c r="I22" s="16"/>
    </row>
    <row r="23" customFormat="false" ht="12.8" hidden="false" customHeight="false" outlineLevel="0" collapsed="false">
      <c r="C23" s="16"/>
      <c r="D23" s="16"/>
      <c r="E23" s="16"/>
      <c r="F23" s="16"/>
      <c r="G23" s="16"/>
      <c r="H23" s="16"/>
      <c r="I23" s="16"/>
    </row>
    <row r="24" customFormat="false" ht="12.8" hidden="false" customHeight="false" outlineLevel="0" collapsed="false">
      <c r="C24" s="16"/>
      <c r="D24" s="16"/>
      <c r="E24" s="16"/>
      <c r="F24" s="16"/>
      <c r="G24" s="16"/>
      <c r="H24" s="16"/>
      <c r="I24" s="16"/>
    </row>
    <row r="25" customFormat="false" ht="12.8" hidden="false" customHeight="false" outlineLevel="0" collapsed="false">
      <c r="B25" s="4" t="s">
        <v>34</v>
      </c>
      <c r="C25" s="4" t="s">
        <v>35</v>
      </c>
      <c r="D25" s="4" t="s">
        <v>12</v>
      </c>
      <c r="E25" s="4" t="s">
        <v>13</v>
      </c>
      <c r="F25" s="4" t="s">
        <v>16</v>
      </c>
      <c r="G25" s="16"/>
      <c r="H25" s="16"/>
      <c r="I25" s="16"/>
    </row>
    <row r="26" customFormat="false" ht="12.8" hidden="false" customHeight="false" outlineLevel="0" collapsed="false">
      <c r="B26" s="16" t="n">
        <f aca="false">$B$22</f>
        <v>0.00817431431340338</v>
      </c>
      <c r="C26" s="16" t="n">
        <f aca="false">T_air  +  (q / (2*PI())) * ((1/k)*LN((r_w+B26)/r_w) + (1/h) * (1/(r_w+B26)))</f>
        <v>423.53975946362</v>
      </c>
      <c r="D26" s="18" t="n">
        <f aca="false">B26^2</f>
        <v>6.68194144943113E-005</v>
      </c>
      <c r="E26" s="18" t="n">
        <f aca="false">B26</f>
        <v>0.00817431431340338</v>
      </c>
      <c r="F26" s="19" t="n">
        <f aca="false">1</f>
        <v>1</v>
      </c>
      <c r="G26" s="20" t="s">
        <v>36</v>
      </c>
      <c r="H26" s="19" t="n">
        <f aca="false" t="array" ref="H26:H28">MMULT(MINVERSE(D26:F28), C26:C28)</f>
        <v>175613.212985039</v>
      </c>
    </row>
    <row r="27" customFormat="false" ht="12.8" hidden="false" customHeight="false" outlineLevel="0" collapsed="false">
      <c r="B27" s="16" t="n">
        <f aca="false">$B$15</f>
        <v>0.00840792935960906</v>
      </c>
      <c r="C27" s="16" t="n">
        <f aca="false">$C$15</f>
        <v>423.549704716554</v>
      </c>
      <c r="D27" s="18" t="n">
        <f aca="false">B27^2</f>
        <v>7.0693276116176E-005</v>
      </c>
      <c r="E27" s="18" t="n">
        <f aca="false">B27</f>
        <v>0.00840792935960906</v>
      </c>
      <c r="F27" s="19" t="n">
        <f aca="false">1</f>
        <v>1</v>
      </c>
      <c r="G27" s="20" t="s">
        <v>37</v>
      </c>
      <c r="H27" s="19" t="n">
        <v>-2869.48997516185</v>
      </c>
    </row>
    <row r="28" customFormat="false" ht="12.8" hidden="false" customHeight="false" outlineLevel="0" collapsed="false">
      <c r="B28" s="16" t="n">
        <f aca="false">$B$8</f>
        <v>0.00788194689431015</v>
      </c>
      <c r="C28" s="16" t="n">
        <f aca="false">$C$8</f>
        <v>423.554318880432</v>
      </c>
      <c r="D28" s="18" t="n">
        <f aca="false">B28^2</f>
        <v>6.21250868447254E-005</v>
      </c>
      <c r="E28" s="18" t="n">
        <f aca="false">B28</f>
        <v>0.00788194689431015</v>
      </c>
      <c r="F28" s="19" t="n">
        <f aca="false">1</f>
        <v>1</v>
      </c>
      <c r="G28" s="20" t="s">
        <v>38</v>
      </c>
      <c r="H28" s="19" t="n">
        <v>435.261500370747</v>
      </c>
    </row>
    <row r="29" customFormat="false" ht="12.8" hidden="false" customHeight="false" outlineLevel="0" collapsed="false">
      <c r="B29" s="24" t="n">
        <f aca="false">-H27/(2*H26)</f>
        <v>0.00816991479867823</v>
      </c>
      <c r="C29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2026-01-19T20:04:58Z</dcterms:created>
  <dc:creator/>
  <dc:description/>
  <dc:language>es-MX</dc:language>
  <cp:lastModifiedBy/>
  <dcterms:modified xsi:type="dcterms:W3CDTF">2026-02-22T17:45:01Z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