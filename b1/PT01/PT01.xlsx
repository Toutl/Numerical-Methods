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lema" sheetId="1" state="visible" r:id="rId3"/>
    <sheet name="Graphical" sheetId="2" state="visible" r:id="rId4"/>
    <sheet name="Bisection" sheetId="3" state="visible" r:id="rId5"/>
    <sheet name="Fixed-Point" sheetId="4" state="visible" r:id="rId6"/>
    <sheet name="Newton-Raphson" sheetId="5" state="visible" r:id="rId7"/>
    <sheet name="Secant" sheetId="6" state="visible" r:id="rId8"/>
    <sheet name="Parabolic interpolation" sheetId="7" state="visible" r:id="rId9"/>
  </sheets>
  <definedNames>
    <definedName function="false" hidden="false" name="E" vbProcedure="false">Problema!$C$5</definedName>
    <definedName function="false" hidden="false" name="I" vbProcedure="false">Problema!$C$6</definedName>
    <definedName function="false" hidden="false" name="L" vbProcedure="false">Problema!$C$4</definedName>
    <definedName function="false" hidden="false" name="w_0" vbProcedure="false">Problema!$C$7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<sst xmlns="http://schemas.openxmlformats.org/spreadsheetml/2006/main" count="78" uniqueCount="35">
  <si>
    <t xml:space="preserve">Problem’s constants</t>
  </si>
  <si>
    <t xml:space="preserve">L</t>
  </si>
  <si>
    <t xml:space="preserve">E</t>
  </si>
  <si>
    <t xml:space="preserve">I</t>
  </si>
  <si>
    <t xml:space="preserve">w₀</t>
  </si>
  <si>
    <t xml:space="preserve">GRAPHICAL METHOD</t>
  </si>
  <si>
    <t xml:space="preserve">x</t>
  </si>
  <si>
    <t xml:space="preserve">y(x)</t>
  </si>
  <si>
    <t xml:space="preserve">y'(x)</t>
  </si>
  <si>
    <t xml:space="preserve">BISECTION METHOD</t>
  </si>
  <si>
    <t xml:space="preserve">i</t>
  </si>
  <si>
    <t xml:space="preserve">a</t>
  </si>
  <si>
    <t xml:space="preserve">b</t>
  </si>
  <si>
    <t xml:space="preserve">f(a)</t>
  </si>
  <si>
    <t xml:space="preserve">f(b)</t>
  </si>
  <si>
    <t xml:space="preserve">c</t>
  </si>
  <si>
    <t xml:space="preserve">f(c)</t>
  </si>
  <si>
    <t xml:space="preserve">f(a) f(c)</t>
  </si>
  <si>
    <t xml:space="preserve">Error bound</t>
  </si>
  <si>
    <t xml:space="preserve">Relative % error</t>
  </si>
  <si>
    <t xml:space="preserve">FIXED-POINT METHOD</t>
  </si>
  <si>
    <t xml:space="preserve">x_i</t>
  </si>
  <si>
    <t xml:space="preserve">x_(i+1)</t>
  </si>
  <si>
    <t xml:space="preserve">NEWTON-RAPHSON METHOD</t>
  </si>
  <si>
    <t xml:space="preserve">f(x_i)</t>
  </si>
  <si>
    <t xml:space="preserve">f’(x_i)</t>
  </si>
  <si>
    <t xml:space="preserve">Error</t>
  </si>
  <si>
    <t xml:space="preserve">SECANT METHOD</t>
  </si>
  <si>
    <t xml:space="preserve">x_(i-1)</t>
  </si>
  <si>
    <t xml:space="preserve">f(x_(i-1))</t>
  </si>
  <si>
    <t xml:space="preserve">PARABOLIC INTERPOLATION</t>
  </si>
  <si>
    <t xml:space="preserve">y</t>
  </si>
  <si>
    <t xml:space="preserve">a =</t>
  </si>
  <si>
    <t xml:space="preserve">b =</t>
  </si>
  <si>
    <t xml:space="preserve">c =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</si>
</sst>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000"/>
    <numFmt numFmtId="166" formatCode="0.00"/>
    <numFmt numFmtId="167" formatCode="0"/>
    <numFmt numFmtId="168" formatCode="0.000000"/>
    <numFmt numFmtId="169" formatCode="0.00E+00"/>
    <numFmt numFmtId="170" formatCode="0.0000"/>
    <numFmt numFmtId="171" formatCode="#,##0.000000"/>
    <numFmt numFmtId="172" formatCode="#,##0.00"/>
    <numFmt numFmtId="173" formatCode="0.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Iosevka Aile"/>
      <family val="0"/>
      <charset val="1"/>
    </font>
    <font>
      <b val="true"/>
      <sz val="8"/>
      <color theme="1"/>
      <name val="Iosevka Aile"/>
      <family val="0"/>
      <charset val="1"/>
    </font>
    <font>
      <sz val="6"/>
      <color rgb="FF000000"/>
      <name val="Iosevka Aile Light"/>
      <family val="2"/>
    </font>
    <font>
      <sz val="6"/>
      <color rgb="FF000000"/>
      <name val="Iosevka Aile"/>
      <family val="2"/>
    </font>
    <font>
      <sz val="7"/>
      <color rgb="FF000000"/>
      <name val="Iosevka Aile"/>
      <family val="2"/>
    </font>
    <font>
      <sz val="8"/>
      <color theme="1"/>
      <name val="Calibri"/>
      <family val="2"/>
      <charset val="1"/>
    </font>
    <font>
      <sz val="8"/>
      <color theme="1"/>
      <name val="Iosevka Aile"/>
      <family val="0"/>
    </font>
  </fonts>
  <fills count="5">
    <fill>
      <patternFill patternType="none"/>
    </fill>
    <fill>
      <patternFill patternType="gray125"/>
    </fill>
    <fill>
      <patternFill patternType="solid">
        <fgColor rgb="FFDEE7E5"/>
        <bgColor rgb="FFDEDCE6"/>
      </patternFill>
    </fill>
    <fill>
      <patternFill patternType="solid">
        <fgColor rgb="FFDDE8CB"/>
        <bgColor rgb="FFDEE7E5"/>
      </patternFill>
    </fill>
    <fill>
      <patternFill patternType="solid">
        <fgColor rgb="FFDEDCE6"/>
        <bgColor rgb="FFDEE7E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8C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729FCF"/>
      <rgbColor rgb="FF993366"/>
      <rgbColor rgb="FFFFFFCC"/>
      <rgbColor rgb="FFDEE7E5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0208880025192"/>
          <c:y val="0.0497658963902734"/>
          <c:w val="0.834995276582345"/>
          <c:h val="0.906358556109349"/>
        </c:manualLayout>
      </c:layout>
      <c:scatterChart>
        <c:scatterStyle val="line"/>
        <c:varyColors val="0"/>
        <c:ser>
          <c:idx val="0"/>
          <c:order val="0"/>
          <c:tx>
            <c:strRef>
              <c:f>Graphical!$D$38:$D$38</c:f>
              <c:strCache>
                <c:ptCount val="1"/>
                <c:pt idx="0">
                  <c:v>y'(x)</c:v>
                </c:pt>
              </c:strCache>
            </c:strRef>
          </c:tx>
          <c:spPr>
            <a:solidFill>
              <a:srgbClr val="77bc65"/>
            </a:solidFill>
            <a:ln w="28800">
              <a:solidFill>
                <a:srgbClr val="77bc6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Graphical!$B$39:$B$49</c:f>
              <c:numCache>
                <c:formatCode>General</c:formatCode>
                <c:ptCount val="11"/>
                <c:pt idx="0">
                  <c:v>575</c:v>
                </c:pt>
                <c:pt idx="1">
                  <c:v>580</c:v>
                </c:pt>
                <c:pt idx="2">
                  <c:v>585</c:v>
                </c:pt>
                <c:pt idx="3">
                  <c:v>590</c:v>
                </c:pt>
                <c:pt idx="4">
                  <c:v>595</c:v>
                </c:pt>
                <c:pt idx="5">
                  <c:v>600</c:v>
                </c:pt>
                <c:pt idx="6">
                  <c:v>605</c:v>
                </c:pt>
                <c:pt idx="7">
                  <c:v>610</c:v>
                </c:pt>
                <c:pt idx="8">
                  <c:v>615</c:v>
                </c:pt>
                <c:pt idx="9">
                  <c:v>620</c:v>
                </c:pt>
                <c:pt idx="10">
                  <c:v>625</c:v>
                </c:pt>
              </c:numCache>
            </c:numRef>
          </c:xVal>
          <c:yVal>
            <c:numRef>
              <c:f>Graphical!$D$39:$D$49</c:f>
              <c:numCache>
                <c:formatCode>0.0000000</c:formatCode>
                <c:ptCount val="11"/>
                <c:pt idx="0">
                  <c:v>0.000879295066550926</c:v>
                </c:pt>
                <c:pt idx="1">
                  <c:v>0.000722203703703704</c:v>
                </c:pt>
                <c:pt idx="2">
                  <c:v>0.000555931640625</c:v>
                </c:pt>
                <c:pt idx="3">
                  <c:v>0.00038027662037037</c:v>
                </c:pt>
                <c:pt idx="4">
                  <c:v>0.000195034649884259</c:v>
                </c:pt>
                <c:pt idx="5">
                  <c:v>0</c:v>
                </c:pt>
                <c:pt idx="6">
                  <c:v>-0.000205034794560185</c:v>
                </c:pt>
                <c:pt idx="7">
                  <c:v>-0.000420278935185185</c:v>
                </c:pt>
                <c:pt idx="8">
                  <c:v>-0.000645943359375</c:v>
                </c:pt>
                <c:pt idx="9">
                  <c:v>-0.000882240740740741</c:v>
                </c:pt>
                <c:pt idx="10">
                  <c:v>-0.00112938548900463</c:v>
                </c:pt>
              </c:numCache>
            </c:numRef>
          </c:yVal>
          <c:smooth val="1"/>
        </c:ser>
        <c:axId val="72915728"/>
        <c:axId val="54033872"/>
      </c:scatterChart>
      <c:valAx>
        <c:axId val="72915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 Light"/>
              </a:defRPr>
            </a:pPr>
          </a:p>
        </c:txPr>
        <c:crossAx val="54033872"/>
        <c:crosses val="autoZero"/>
        <c:crossBetween val="midCat"/>
      </c:valAx>
      <c:valAx>
        <c:axId val="540338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"/>
              </a:defRPr>
            </a:pPr>
          </a:p>
        </c:txPr>
        <c:crossAx val="7291572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40002099296736"/>
          <c:y val="0.075366258873282"/>
          <c:w val="0.200797732759526"/>
          <c:h val="0.078235916024769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700" spc="-1" strike="noStrike">
              <a:solidFill>
                <a:srgbClr val="000000"/>
              </a:solidFill>
              <a:latin typeface="Iosevka Aile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028692879915"/>
          <c:y val="0.0497658963902734"/>
          <c:w val="0.832518597236982"/>
          <c:h val="0.906358556109349"/>
        </c:manualLayout>
      </c:layout>
      <c:scatterChart>
        <c:scatterStyle val="line"/>
        <c:varyColors val="0"/>
        <c:ser>
          <c:idx val="0"/>
          <c:order val="0"/>
          <c:tx>
            <c:strRef>
              <c:f>Graphical!$C$4</c:f>
              <c:strCache>
                <c:ptCount val="1"/>
                <c:pt idx="0">
                  <c:v>y(x)</c:v>
                </c:pt>
              </c:strCache>
            </c:strRef>
          </c:tx>
          <c:spPr>
            <a:solidFill>
              <a:srgbClr val="729fcf"/>
            </a:solidFill>
            <a:ln w="28800">
              <a:solidFill>
                <a:srgbClr val="729f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Graphical!$B$5:$B$35</c:f>
              <c:numCache>
                <c:formatCode>General</c:formatCode>
                <c:ptCount val="3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</c:numCache>
            </c:numRef>
          </c:xVal>
          <c:yVal>
            <c:numRef>
              <c:f>Graphical!$C$5:$C$35</c:f>
              <c:numCache>
                <c:formatCode>0.0000000</c:formatCode>
                <c:ptCount val="31"/>
                <c:pt idx="0">
                  <c:v>0</c:v>
                </c:pt>
                <c:pt idx="1">
                  <c:v>-0.0747398093894676</c:v>
                </c:pt>
                <c:pt idx="2">
                  <c:v>-0.147923900462963</c:v>
                </c:pt>
                <c:pt idx="3">
                  <c:v>-0.218023681640625</c:v>
                </c:pt>
                <c:pt idx="4">
                  <c:v>-0.283564814814815</c:v>
                </c:pt>
                <c:pt idx="5">
                  <c:v>-0.343154342086227</c:v>
                </c:pt>
                <c:pt idx="6">
                  <c:v>-0.3955078125</c:v>
                </c:pt>
                <c:pt idx="7">
                  <c:v>-0.439476408781829</c:v>
                </c:pt>
                <c:pt idx="8">
                  <c:v>-0.474074074074074</c:v>
                </c:pt>
                <c:pt idx="9">
                  <c:v>-0.498504638671875</c:v>
                </c:pt>
                <c:pt idx="10">
                  <c:v>-0.512188946759259</c:v>
                </c:pt>
                <c:pt idx="11">
                  <c:v>-0.514791983145255</c:v>
                </c:pt>
                <c:pt idx="12">
                  <c:v>-0.50625</c:v>
                </c:pt>
                <c:pt idx="13">
                  <c:v>-0.486797643590857</c:v>
                </c:pt>
                <c:pt idx="14">
                  <c:v>-0.456995081018519</c:v>
                </c:pt>
                <c:pt idx="15">
                  <c:v>-0.417755126953125</c:v>
                </c:pt>
                <c:pt idx="16">
                  <c:v>-0.37037037037037</c:v>
                </c:pt>
                <c:pt idx="17">
                  <c:v>-0.316540301287616</c:v>
                </c:pt>
                <c:pt idx="18">
                  <c:v>-0.2583984375</c:v>
                </c:pt>
                <c:pt idx="19">
                  <c:v>-0.198539451316551</c:v>
                </c:pt>
                <c:pt idx="20">
                  <c:v>-0.140046296296296</c:v>
                </c:pt>
                <c:pt idx="21">
                  <c:v>-0.086517333984375</c:v>
                </c:pt>
                <c:pt idx="22">
                  <c:v>-0.0420934606481481</c:v>
                </c:pt>
                <c:pt idx="23">
                  <c:v>-0.0114852340133102</c:v>
                </c:pt>
                <c:pt idx="24">
                  <c:v>0</c:v>
                </c:pt>
                <c:pt idx="25">
                  <c:v>-0.013569019458912</c:v>
                </c:pt>
                <c:pt idx="26">
                  <c:v>-0.0587745949074074</c:v>
                </c:pt>
                <c:pt idx="27">
                  <c:v>-0.142877197265625</c:v>
                </c:pt>
                <c:pt idx="28">
                  <c:v>-0.273842592592593</c:v>
                </c:pt>
                <c:pt idx="29">
                  <c:v>-0.460368968822338</c:v>
                </c:pt>
                <c:pt idx="30">
                  <c:v>-0.7119140625</c:v>
                </c:pt>
              </c:numCache>
            </c:numRef>
          </c:yVal>
          <c:smooth val="1"/>
        </c:ser>
        <c:axId val="67759841"/>
        <c:axId val="95469342"/>
      </c:scatterChart>
      <c:valAx>
        <c:axId val="6775984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 Light"/>
              </a:defRPr>
            </a:pPr>
          </a:p>
        </c:txPr>
        <c:crossAx val="95469342"/>
        <c:crosses val="autoZero"/>
        <c:crossBetween val="midCat"/>
      </c:valAx>
      <c:valAx>
        <c:axId val="954693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"/>
              </a:defRPr>
            </a:pPr>
          </a:p>
        </c:txPr>
        <c:crossAx val="6775984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139532412327311"/>
          <c:y val="0.857876453707899"/>
          <c:w val="0.190116896918172"/>
          <c:h val="0.0782359160247697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700" spc="-1" strike="noStrike">
              <a:solidFill>
                <a:srgbClr val="000000"/>
              </a:solidFill>
              <a:latin typeface="Iosevka Aile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0166826054617"/>
          <c:y val="0.0496828752642706"/>
          <c:w val="0.832430134948465"/>
          <c:h val="0.906221685291453"/>
        </c:manualLayout>
      </c:layout>
      <c:scatterChart>
        <c:scatterStyle val="line"/>
        <c:varyColors val="0"/>
        <c:ser>
          <c:idx val="0"/>
          <c:order val="0"/>
          <c:tx>
            <c:strRef>
              <c:f>Graphical!$D$4</c:f>
              <c:strCache>
                <c:ptCount val="1"/>
                <c:pt idx="0">
                  <c:v>y'(x)</c:v>
                </c:pt>
              </c:strCache>
            </c:strRef>
          </c:tx>
          <c:spPr>
            <a:solidFill>
              <a:srgbClr val="77bc65"/>
            </a:solidFill>
            <a:ln w="28800">
              <a:solidFill>
                <a:srgbClr val="77bc6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Graphical!$B$5:$B$35</c:f>
              <c:numCache>
                <c:formatCode>General</c:formatCode>
                <c:ptCount val="3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  <c:pt idx="21">
                  <c:v>525</c:v>
                </c:pt>
                <c:pt idx="22">
                  <c:v>550</c:v>
                </c:pt>
                <c:pt idx="23">
                  <c:v>575</c:v>
                </c:pt>
                <c:pt idx="24">
                  <c:v>600</c:v>
                </c:pt>
                <c:pt idx="25">
                  <c:v>625</c:v>
                </c:pt>
                <c:pt idx="26">
                  <c:v>650</c:v>
                </c:pt>
                <c:pt idx="27">
                  <c:v>675</c:v>
                </c:pt>
                <c:pt idx="28">
                  <c:v>700</c:v>
                </c:pt>
                <c:pt idx="29">
                  <c:v>725</c:v>
                </c:pt>
                <c:pt idx="30">
                  <c:v>750</c:v>
                </c:pt>
              </c:numCache>
            </c:numRef>
          </c:xVal>
          <c:yVal>
            <c:numRef>
              <c:f>Graphical!$D$5:$D$35</c:f>
              <c:numCache>
                <c:formatCode>0.0000000</c:formatCode>
                <c:ptCount val="31"/>
                <c:pt idx="0">
                  <c:v>-0.003</c:v>
                </c:pt>
                <c:pt idx="1">
                  <c:v>-0.00296879521122685</c:v>
                </c:pt>
                <c:pt idx="2">
                  <c:v>-0.00287572337962963</c:v>
                </c:pt>
                <c:pt idx="3">
                  <c:v>-0.002722412109375</c:v>
                </c:pt>
                <c:pt idx="4">
                  <c:v>-0.00251157407407407</c:v>
                </c:pt>
                <c:pt idx="5">
                  <c:v>-0.00224700701678241</c:v>
                </c:pt>
                <c:pt idx="6">
                  <c:v>-0.00193359375</c:v>
                </c:pt>
                <c:pt idx="7">
                  <c:v>-0.0015773021556713</c:v>
                </c:pt>
                <c:pt idx="8">
                  <c:v>-0.00118518518518519</c:v>
                </c:pt>
                <c:pt idx="9">
                  <c:v>-0.000765380859375</c:v>
                </c:pt>
                <c:pt idx="10">
                  <c:v>-0.000327112268518519</c:v>
                </c:pt>
                <c:pt idx="11">
                  <c:v>0.000119312427662037</c:v>
                </c:pt>
                <c:pt idx="12">
                  <c:v>0.0005625</c:v>
                </c:pt>
                <c:pt idx="13">
                  <c:v>0.000989972149884259</c:v>
                </c:pt>
                <c:pt idx="14">
                  <c:v>0.00138816550925926</c:v>
                </c:pt>
                <c:pt idx="15">
                  <c:v>0.001742431640625</c:v>
                </c:pt>
                <c:pt idx="16">
                  <c:v>0.00203703703703704</c:v>
                </c:pt>
                <c:pt idx="17">
                  <c:v>0.00225516312210648</c:v>
                </c:pt>
                <c:pt idx="18">
                  <c:v>0.00237890625</c:v>
                </c:pt>
                <c:pt idx="19">
                  <c:v>0.00238927770543981</c:v>
                </c:pt>
                <c:pt idx="20">
                  <c:v>0.0022662037037037</c:v>
                </c:pt>
                <c:pt idx="21">
                  <c:v>0.001988525390625</c:v>
                </c:pt>
                <c:pt idx="22">
                  <c:v>0.00153399884259259</c:v>
                </c:pt>
                <c:pt idx="23">
                  <c:v>0.000879295066550926</c:v>
                </c:pt>
                <c:pt idx="24">
                  <c:v>0</c:v>
                </c:pt>
                <c:pt idx="25">
                  <c:v>-0.00112938548900463</c:v>
                </c:pt>
                <c:pt idx="26">
                  <c:v>-0.00253544560185185</c:v>
                </c:pt>
                <c:pt idx="27">
                  <c:v>-0.004245849609375</c:v>
                </c:pt>
                <c:pt idx="28">
                  <c:v>-0.00628935185185185</c:v>
                </c:pt>
                <c:pt idx="29">
                  <c:v>-0.00869579173900463</c:v>
                </c:pt>
                <c:pt idx="30">
                  <c:v>-0.01149609375</c:v>
                </c:pt>
              </c:numCache>
            </c:numRef>
          </c:yVal>
          <c:smooth val="1"/>
        </c:ser>
        <c:axId val="52851290"/>
        <c:axId val="81551975"/>
      </c:scatterChart>
      <c:valAx>
        <c:axId val="5285129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 Light"/>
              </a:defRPr>
            </a:pPr>
          </a:p>
        </c:txPr>
        <c:crossAx val="81551975"/>
        <c:crosses val="autoZero"/>
        <c:crossBetween val="midCat"/>
      </c:valAx>
      <c:valAx>
        <c:axId val="815519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"/>
              </a:defRPr>
            </a:pPr>
          </a:p>
        </c:txPr>
        <c:crossAx val="5285129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56455211985974"/>
          <c:y val="0.0720326185442465"/>
          <c:w val="0.190116896918172"/>
          <c:h val="0.0782359160247697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700" spc="-1" strike="noStrike">
              <a:solidFill>
                <a:srgbClr val="000000"/>
              </a:solidFill>
              <a:latin typeface="Iosevka Aile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77bc65"/>
            </a:solidFill>
            <a:ln w="28800">
              <a:noFill/>
            </a:ln>
          </c:spPr>
          <c:marker>
            <c:symbol val="square"/>
            <c:size val="4"/>
            <c:spPr>
              <a:solidFill>
                <a:srgbClr val="77bc65"/>
              </a:solidFill>
            </c:spPr>
          </c:marker>
          <c:dPt>
            <c:idx val="0"/>
            <c:marker>
              <c:symbol val="square"/>
              <c:size val="4"/>
              <c:spPr>
                <a:solidFill>
                  <a:srgbClr val="77bc65"/>
                </a:solidFill>
              </c:spPr>
            </c:marker>
          </c:dPt>
          <c:dPt>
            <c:idx val="1"/>
            <c:marker>
              <c:symbol val="square"/>
              <c:size val="4"/>
              <c:spPr>
                <a:solidFill>
                  <a:srgbClr val="77bc65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77bc65"/>
                </a:solidFill>
              </a:ln>
            </c:spPr>
            <c:trendlineType val="poly"/>
            <c:order val="2"/>
            <c:forward val="0"/>
            <c:backward val="0"/>
            <c:dispRSqr val="0"/>
            <c:dispEq val="1"/>
          </c:trendline>
          <c:xVal>
            <c:numRef>
              <c:f>'Parabolic interpolation'!$B$5:$B$7</c:f>
              <c:numCache>
                <c:formatCode>#,##0.000000</c:formatCode>
                <c:ptCount val="3"/>
                <c:pt idx="0">
                  <c:v>400</c:v>
                </c:pt>
                <c:pt idx="1">
                  <c:v>550</c:v>
                </c:pt>
                <c:pt idx="2">
                  <c:v>700</c:v>
                </c:pt>
              </c:numCache>
            </c:numRef>
          </c:xVal>
          <c:yVal>
            <c:numRef>
              <c:f>'Parabolic interpolation'!$C$5:$C$7</c:f>
              <c:numCache>
                <c:formatCode>#,##0.000000</c:formatCode>
                <c:ptCount val="3"/>
                <c:pt idx="0">
                  <c:v>-0.37037037037037</c:v>
                </c:pt>
                <c:pt idx="1">
                  <c:v>-0.0420934606481481</c:v>
                </c:pt>
                <c:pt idx="2">
                  <c:v>-0.273842592592593</c:v>
                </c:pt>
              </c:numCache>
            </c:numRef>
          </c:yVal>
          <c:smooth val="0"/>
        </c:ser>
        <c:axId val="7986012"/>
        <c:axId val="94684365"/>
      </c:scatterChart>
      <c:valAx>
        <c:axId val="79860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"/>
              </a:defRPr>
            </a:pPr>
          </a:p>
        </c:txPr>
        <c:crossAx val="94684365"/>
        <c:crossesAt val="0"/>
        <c:crossBetween val="midCat"/>
      </c:valAx>
      <c:valAx>
        <c:axId val="946843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"/>
              </a:defRPr>
            </a:pPr>
          </a:p>
        </c:txPr>
        <c:crossAx val="7986012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354600</xdr:colOff>
      <xdr:row>37</xdr:row>
      <xdr:rowOff>0</xdr:rowOff>
    </xdr:from>
    <xdr:to>
      <xdr:col>8</xdr:col>
      <xdr:colOff>856080</xdr:colOff>
      <xdr:row>51</xdr:row>
      <xdr:rowOff>116640</xdr:rowOff>
    </xdr:to>
    <xdr:graphicFrame>
      <xdr:nvGraphicFramePr>
        <xdr:cNvPr id="0" name=""/>
        <xdr:cNvGraphicFramePr/>
      </xdr:nvGraphicFramePr>
      <xdr:xfrm>
        <a:off x="3282480" y="5991120"/>
        <a:ext cx="3429720" cy="238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354600</xdr:colOff>
      <xdr:row>3</xdr:row>
      <xdr:rowOff>1800</xdr:rowOff>
    </xdr:from>
    <xdr:to>
      <xdr:col>8</xdr:col>
      <xdr:colOff>813960</xdr:colOff>
      <xdr:row>17</xdr:row>
      <xdr:rowOff>118440</xdr:rowOff>
    </xdr:to>
    <xdr:graphicFrame>
      <xdr:nvGraphicFramePr>
        <xdr:cNvPr id="1" name=""/>
        <xdr:cNvGraphicFramePr/>
      </xdr:nvGraphicFramePr>
      <xdr:xfrm>
        <a:off x="3282480" y="487440"/>
        <a:ext cx="3387600" cy="238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356760</xdr:colOff>
      <xdr:row>19</xdr:row>
      <xdr:rowOff>360</xdr:rowOff>
    </xdr:from>
    <xdr:to>
      <xdr:col>8</xdr:col>
      <xdr:colOff>816120</xdr:colOff>
      <xdr:row>33</xdr:row>
      <xdr:rowOff>117000</xdr:rowOff>
    </xdr:to>
    <xdr:graphicFrame>
      <xdr:nvGraphicFramePr>
        <xdr:cNvPr id="2" name=""/>
        <xdr:cNvGraphicFramePr/>
      </xdr:nvGraphicFramePr>
      <xdr:xfrm>
        <a:off x="3284640" y="3076920"/>
        <a:ext cx="3387600" cy="238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854640</xdr:colOff>
      <xdr:row>3</xdr:row>
      <xdr:rowOff>360</xdr:rowOff>
    </xdr:from>
    <xdr:to>
      <xdr:col>12</xdr:col>
      <xdr:colOff>822600</xdr:colOff>
      <xdr:row>19</xdr:row>
      <xdr:rowOff>12960</xdr:rowOff>
    </xdr:to>
    <xdr:graphicFrame>
      <xdr:nvGraphicFramePr>
        <xdr:cNvPr id="3" name=""/>
        <xdr:cNvGraphicFramePr/>
      </xdr:nvGraphicFramePr>
      <xdr:xfrm>
        <a:off x="6963480" y="488160"/>
        <a:ext cx="3391920" cy="261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8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0.69921875" defaultRowHeight="12.75" zeroHeight="false" outlineLevelRow="0" outlineLevelCol="0"/>
  <cols>
    <col collapsed="false" customWidth="true" hidden="false" outlineLevel="0" max="1" min="1" style="1" width="4.5"/>
    <col collapsed="false" customWidth="true" hidden="false" outlineLevel="0" max="3" min="2" style="2" width="6.74"/>
    <col collapsed="false" customWidth="false" hidden="false" outlineLevel="0" max="16380" min="4" style="1" width="10.7"/>
    <col collapsed="false" customWidth="true" hidden="false" outlineLevel="0" max="16384" min="16381" style="1" width="10.16"/>
  </cols>
  <sheetData>
    <row r="1" customFormat="false" ht="12.8" hidden="false" customHeight="false" outlineLevel="0" collapsed="false"/>
    <row r="2" customFormat="false" ht="12.8" hidden="false" customHeight="false" outlineLevel="0" collapsed="false">
      <c r="B2" s="3" t="s">
        <v>0</v>
      </c>
    </row>
    <row r="4" customFormat="false" ht="12.75" hidden="false" customHeight="true" outlineLevel="0" collapsed="false">
      <c r="B4" s="4" t="s">
        <v>1</v>
      </c>
      <c r="C4" s="1" t="n">
        <v>600</v>
      </c>
    </row>
    <row r="5" customFormat="false" ht="12.75" hidden="false" customHeight="true" outlineLevel="0" collapsed="false">
      <c r="B5" s="4" t="s">
        <v>2</v>
      </c>
      <c r="C5" s="1" t="n">
        <v>50000</v>
      </c>
    </row>
    <row r="6" customFormat="false" ht="12.75" hidden="false" customHeight="true" outlineLevel="0" collapsed="false">
      <c r="B6" s="4" t="s">
        <v>3</v>
      </c>
      <c r="C6" s="1" t="n">
        <v>30000</v>
      </c>
    </row>
    <row r="7" customFormat="false" ht="12.75" hidden="false" customHeight="true" outlineLevel="0" collapsed="false">
      <c r="B7" s="4" t="s">
        <v>4</v>
      </c>
      <c r="C7" s="1" t="n">
        <v>2.5</v>
      </c>
    </row>
    <row r="8" s="1" customFormat="true" ht="12.75" hidden="false" customHeight="true" outlineLevel="0" collapsed="false">
      <c r="B8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0.69921875" defaultRowHeight="12.75" zeroHeight="false" outlineLevelRow="0" outlineLevelCol="0"/>
  <cols>
    <col collapsed="false" customWidth="true" hidden="false" outlineLevel="0" max="1" min="1" style="1" width="4.5"/>
    <col collapsed="false" customWidth="false" hidden="false" outlineLevel="0" max="4" min="2" style="1" width="10.7"/>
    <col collapsed="false" customWidth="true" hidden="false" outlineLevel="0" max="5" min="5" style="1" width="4.5"/>
    <col collapsed="false" customWidth="false" hidden="false" outlineLevel="0" max="7" min="6" style="2" width="10.7"/>
    <col collapsed="false" customWidth="false" hidden="false" outlineLevel="0" max="16384" min="8" style="1" width="10.7"/>
  </cols>
  <sheetData>
    <row r="2" customFormat="false" ht="12.75" hidden="false" customHeight="true" outlineLevel="0" collapsed="false">
      <c r="B2" s="3" t="s">
        <v>5</v>
      </c>
    </row>
    <row r="4" s="1" customFormat="true" ht="12.75" hidden="false" customHeight="true" outlineLevel="0" collapsed="false">
      <c r="B4" s="4" t="s">
        <v>6</v>
      </c>
      <c r="C4" s="4" t="s">
        <v>7</v>
      </c>
      <c r="D4" s="4" t="s">
        <v>8</v>
      </c>
    </row>
    <row r="5" s="1" customFormat="true" ht="12.75" hidden="false" customHeight="true" outlineLevel="0" collapsed="false">
      <c r="B5" s="1" t="n">
        <v>0</v>
      </c>
      <c r="C5" s="5" t="n">
        <f aca="false">(w_0/(120*E*I*L)) * (-B5^5 + 2*L^2*B5^3 - L^4*B5)</f>
        <v>0</v>
      </c>
      <c r="D5" s="5" t="n">
        <f aca="false">(w_0/(120*E*I*L)) * (-5*B5^4 + 6*L^2*B5^2 - L^4)</f>
        <v>-0.003</v>
      </c>
    </row>
    <row r="6" s="1" customFormat="true" ht="12.75" hidden="false" customHeight="true" outlineLevel="0" collapsed="false">
      <c r="B6" s="1" t="n">
        <v>25</v>
      </c>
      <c r="C6" s="5" t="n">
        <f aca="false">(w_0/(120*E*I*L)) * (-B6^5 + 2*L^2*B6^3 - L^4*B6)</f>
        <v>-0.0747398093894676</v>
      </c>
      <c r="D6" s="5" t="n">
        <f aca="false">(w_0/(120*E*I*L)) * (-5*B6^4 + 6*L^2*B6^2 - L^4)</f>
        <v>-0.00296879521122685</v>
      </c>
    </row>
    <row r="7" s="1" customFormat="true" ht="12.75" hidden="false" customHeight="true" outlineLevel="0" collapsed="false">
      <c r="B7" s="1" t="n">
        <v>50</v>
      </c>
      <c r="C7" s="5" t="n">
        <f aca="false">(w_0/(120*E*I*L)) * (-B7^5 + 2*L^2*B7^3 - L^4*B7)</f>
        <v>-0.147923900462963</v>
      </c>
      <c r="D7" s="5" t="n">
        <f aca="false">(w_0/(120*E*I*L)) * (-5*B7^4 + 6*L^2*B7^2 - L^4)</f>
        <v>-0.00287572337962963</v>
      </c>
    </row>
    <row r="8" s="1" customFormat="true" ht="12.75" hidden="false" customHeight="true" outlineLevel="0" collapsed="false">
      <c r="B8" s="1" t="n">
        <v>75</v>
      </c>
      <c r="C8" s="5" t="n">
        <f aca="false">(w_0/(120*E*I*L)) * (-B8^5 + 2*L^2*B8^3 - L^4*B8)</f>
        <v>-0.218023681640625</v>
      </c>
      <c r="D8" s="5" t="n">
        <f aca="false">(w_0/(120*E*I*L)) * (-5*B8^4 + 6*L^2*B8^2 - L^4)</f>
        <v>-0.002722412109375</v>
      </c>
    </row>
    <row r="9" customFormat="false" ht="12.75" hidden="false" customHeight="true" outlineLevel="0" collapsed="false">
      <c r="B9" s="1" t="n">
        <v>100</v>
      </c>
      <c r="C9" s="5" t="n">
        <f aca="false">(w_0/(120*E*I*L)) * (-B9^5 + 2*L^2*B9^3 - L^4*B9)</f>
        <v>-0.283564814814815</v>
      </c>
      <c r="D9" s="5" t="n">
        <f aca="false">(w_0/(120*E*I*L)) * (-5*B9^4 + 6*L^2*B9^2 - L^4)</f>
        <v>-0.00251157407407407</v>
      </c>
    </row>
    <row r="10" customFormat="false" ht="12.75" hidden="false" customHeight="true" outlineLevel="0" collapsed="false">
      <c r="B10" s="1" t="n">
        <v>125</v>
      </c>
      <c r="C10" s="5" t="n">
        <f aca="false">(w_0/(120*E*I*L)) * (-B10^5 + 2*L^2*B10^3 - L^4*B10)</f>
        <v>-0.343154342086227</v>
      </c>
      <c r="D10" s="5" t="n">
        <f aca="false">(w_0/(120*E*I*L)) * (-5*B10^4 + 6*L^2*B10^2 - L^4)</f>
        <v>-0.00224700701678241</v>
      </c>
    </row>
    <row r="11" customFormat="false" ht="12.75" hidden="false" customHeight="true" outlineLevel="0" collapsed="false">
      <c r="B11" s="1" t="n">
        <v>150</v>
      </c>
      <c r="C11" s="5" t="n">
        <f aca="false">(w_0/(120*E*I*L)) * (-B11^5 + 2*L^2*B11^3 - L^4*B11)</f>
        <v>-0.3955078125</v>
      </c>
      <c r="D11" s="5" t="n">
        <f aca="false">(w_0/(120*E*I*L)) * (-5*B11^4 + 6*L^2*B11^2 - L^4)</f>
        <v>-0.00193359375</v>
      </c>
    </row>
    <row r="12" customFormat="false" ht="12.75" hidden="false" customHeight="true" outlineLevel="0" collapsed="false">
      <c r="B12" s="1" t="n">
        <v>175</v>
      </c>
      <c r="C12" s="5" t="n">
        <f aca="false">(w_0/(120*E*I*L)) * (-B12^5 + 2*L^2*B12^3 - L^4*B12)</f>
        <v>-0.439476408781829</v>
      </c>
      <c r="D12" s="5" t="n">
        <f aca="false">(w_0/(120*E*I*L)) * (-5*B12^4 + 6*L^2*B12^2 - L^4)</f>
        <v>-0.0015773021556713</v>
      </c>
    </row>
    <row r="13" customFormat="false" ht="12.75" hidden="false" customHeight="true" outlineLevel="0" collapsed="false">
      <c r="B13" s="1" t="n">
        <v>200</v>
      </c>
      <c r="C13" s="5" t="n">
        <f aca="false">(w_0/(120*E*I*L)) * (-B13^5 + 2*L^2*B13^3 - L^4*B13)</f>
        <v>-0.474074074074074</v>
      </c>
      <c r="D13" s="5" t="n">
        <f aca="false">(w_0/(120*E*I*L)) * (-5*B13^4 + 6*L^2*B13^2 - L^4)</f>
        <v>-0.00118518518518519</v>
      </c>
    </row>
    <row r="14" customFormat="false" ht="12.75" hidden="false" customHeight="true" outlineLevel="0" collapsed="false">
      <c r="B14" s="1" t="n">
        <v>225</v>
      </c>
      <c r="C14" s="5" t="n">
        <f aca="false">(w_0/(120*E*I*L)) * (-B14^5 + 2*L^2*B14^3 - L^4*B14)</f>
        <v>-0.498504638671875</v>
      </c>
      <c r="D14" s="5" t="n">
        <f aca="false">(w_0/(120*E*I*L)) * (-5*B14^4 + 6*L^2*B14^2 - L^4)</f>
        <v>-0.000765380859375</v>
      </c>
    </row>
    <row r="15" customFormat="false" ht="12.75" hidden="false" customHeight="true" outlineLevel="0" collapsed="false">
      <c r="B15" s="1" t="n">
        <v>250</v>
      </c>
      <c r="C15" s="5" t="n">
        <f aca="false">(w_0/(120*E*I*L)) * (-B15^5 + 2*L^2*B15^3 - L^4*B15)</f>
        <v>-0.512188946759259</v>
      </c>
      <c r="D15" s="5" t="n">
        <f aca="false">(w_0/(120*E*I*L)) * (-5*B15^4 + 6*L^2*B15^2 - L^4)</f>
        <v>-0.000327112268518519</v>
      </c>
    </row>
    <row r="16" customFormat="false" ht="12.75" hidden="false" customHeight="true" outlineLevel="0" collapsed="false">
      <c r="B16" s="1" t="n">
        <v>275</v>
      </c>
      <c r="C16" s="5" t="n">
        <f aca="false">(w_0/(120*E*I*L)) * (-B16^5 + 2*L^2*B16^3 - L^4*B16)</f>
        <v>-0.514791983145255</v>
      </c>
      <c r="D16" s="5" t="n">
        <f aca="false">(w_0/(120*E*I*L)) * (-5*B16^4 + 6*L^2*B16^2 - L^4)</f>
        <v>0.000119312427662037</v>
      </c>
    </row>
    <row r="17" customFormat="false" ht="12.75" hidden="false" customHeight="true" outlineLevel="0" collapsed="false">
      <c r="B17" s="1" t="n">
        <v>300</v>
      </c>
      <c r="C17" s="5" t="n">
        <f aca="false">(w_0/(120*E*I*L)) * (-B17^5 + 2*L^2*B17^3 - L^4*B17)</f>
        <v>-0.50625</v>
      </c>
      <c r="D17" s="5" t="n">
        <f aca="false">(w_0/(120*E*I*L)) * (-5*B17^4 + 6*L^2*B17^2 - L^4)</f>
        <v>0.0005625</v>
      </c>
    </row>
    <row r="18" customFormat="false" ht="12.75" hidden="false" customHeight="true" outlineLevel="0" collapsed="false">
      <c r="B18" s="1" t="n">
        <v>325</v>
      </c>
      <c r="C18" s="5" t="n">
        <f aca="false">(w_0/(120*E*I*L)) * (-B18^5 + 2*L^2*B18^3 - L^4*B18)</f>
        <v>-0.486797643590857</v>
      </c>
      <c r="D18" s="5" t="n">
        <f aca="false">(w_0/(120*E*I*L)) * (-5*B18^4 + 6*L^2*B18^2 - L^4)</f>
        <v>0.000989972149884259</v>
      </c>
    </row>
    <row r="19" customFormat="false" ht="12.75" hidden="false" customHeight="true" outlineLevel="0" collapsed="false">
      <c r="B19" s="1" t="n">
        <v>350</v>
      </c>
      <c r="C19" s="5" t="n">
        <f aca="false">(w_0/(120*E*I*L)) * (-B19^5 + 2*L^2*B19^3 - L^4*B19)</f>
        <v>-0.456995081018519</v>
      </c>
      <c r="D19" s="5" t="n">
        <f aca="false">(w_0/(120*E*I*L)) * (-5*B19^4 + 6*L^2*B19^2 - L^4)</f>
        <v>0.00138816550925926</v>
      </c>
    </row>
    <row r="20" customFormat="false" ht="12.75" hidden="false" customHeight="true" outlineLevel="0" collapsed="false">
      <c r="B20" s="1" t="n">
        <v>375</v>
      </c>
      <c r="C20" s="5" t="n">
        <f aca="false">(w_0/(120*E*I*L)) * (-B20^5 + 2*L^2*B20^3 - L^4*B20)</f>
        <v>-0.417755126953125</v>
      </c>
      <c r="D20" s="5" t="n">
        <f aca="false">(w_0/(120*E*I*L)) * (-5*B20^4 + 6*L^2*B20^2 - L^4)</f>
        <v>0.001742431640625</v>
      </c>
    </row>
    <row r="21" customFormat="false" ht="12.75" hidden="false" customHeight="true" outlineLevel="0" collapsed="false">
      <c r="B21" s="1" t="n">
        <v>400</v>
      </c>
      <c r="C21" s="5" t="n">
        <f aca="false">(w_0/(120*E*I*L)) * (-B21^5 + 2*L^2*B21^3 - L^4*B21)</f>
        <v>-0.37037037037037</v>
      </c>
      <c r="D21" s="5" t="n">
        <f aca="false">(w_0/(120*E*I*L)) * (-5*B21^4 + 6*L^2*B21^2 - L^4)</f>
        <v>0.00203703703703704</v>
      </c>
    </row>
    <row r="22" customFormat="false" ht="12.75" hidden="false" customHeight="true" outlineLevel="0" collapsed="false">
      <c r="B22" s="1" t="n">
        <v>425</v>
      </c>
      <c r="C22" s="5" t="n">
        <f aca="false">(w_0/(120*E*I*L)) * (-B22^5 + 2*L^2*B22^3 - L^4*B22)</f>
        <v>-0.316540301287616</v>
      </c>
      <c r="D22" s="5" t="n">
        <f aca="false">(w_0/(120*E*I*L)) * (-5*B22^4 + 6*L^2*B22^2 - L^4)</f>
        <v>0.00225516312210648</v>
      </c>
    </row>
    <row r="23" customFormat="false" ht="12.75" hidden="false" customHeight="true" outlineLevel="0" collapsed="false">
      <c r="B23" s="1" t="n">
        <v>450</v>
      </c>
      <c r="C23" s="5" t="n">
        <f aca="false">(w_0/(120*E*I*L)) * (-B23^5 + 2*L^2*B23^3 - L^4*B23)</f>
        <v>-0.2583984375</v>
      </c>
      <c r="D23" s="5" t="n">
        <f aca="false">(w_0/(120*E*I*L)) * (-5*B23^4 + 6*L^2*B23^2 - L^4)</f>
        <v>0.00237890625</v>
      </c>
    </row>
    <row r="24" customFormat="false" ht="12.75" hidden="false" customHeight="true" outlineLevel="0" collapsed="false">
      <c r="B24" s="1" t="n">
        <v>475</v>
      </c>
      <c r="C24" s="5" t="n">
        <f aca="false">(w_0/(120*E*I*L)) * (-B24^5 + 2*L^2*B24^3 - L^4*B24)</f>
        <v>-0.198539451316551</v>
      </c>
      <c r="D24" s="5" t="n">
        <f aca="false">(w_0/(120*E*I*L)) * (-5*B24^4 + 6*L^2*B24^2 - L^4)</f>
        <v>0.00238927770543981</v>
      </c>
    </row>
    <row r="25" customFormat="false" ht="12.75" hidden="false" customHeight="true" outlineLevel="0" collapsed="false">
      <c r="B25" s="1" t="n">
        <v>500</v>
      </c>
      <c r="C25" s="5" t="n">
        <f aca="false">(w_0/(120*E*I*L)) * (-B25^5 + 2*L^2*B25^3 - L^4*B25)</f>
        <v>-0.140046296296296</v>
      </c>
      <c r="D25" s="5" t="n">
        <f aca="false">(w_0/(120*E*I*L)) * (-5*B25^4 + 6*L^2*B25^2 - L^4)</f>
        <v>0.0022662037037037</v>
      </c>
    </row>
    <row r="26" customFormat="false" ht="12.75" hidden="false" customHeight="true" outlineLevel="0" collapsed="false">
      <c r="B26" s="1" t="n">
        <v>525</v>
      </c>
      <c r="C26" s="5" t="n">
        <f aca="false">(w_0/(120*E*I*L)) * (-B26^5 + 2*L^2*B26^3 - L^4*B26)</f>
        <v>-0.086517333984375</v>
      </c>
      <c r="D26" s="5" t="n">
        <f aca="false">(w_0/(120*E*I*L)) * (-5*B26^4 + 6*L^2*B26^2 - L^4)</f>
        <v>0.001988525390625</v>
      </c>
    </row>
    <row r="27" customFormat="false" ht="12.75" hidden="false" customHeight="true" outlineLevel="0" collapsed="false">
      <c r="B27" s="1" t="n">
        <v>550</v>
      </c>
      <c r="C27" s="5" t="n">
        <f aca="false">(w_0/(120*E*I*L)) * (-B27^5 + 2*L^2*B27^3 - L^4*B27)</f>
        <v>-0.0420934606481481</v>
      </c>
      <c r="D27" s="5" t="n">
        <f aca="false">(w_0/(120*E*I*L)) * (-5*B27^4 + 6*L^2*B27^2 - L^4)</f>
        <v>0.00153399884259259</v>
      </c>
    </row>
    <row r="28" customFormat="false" ht="12.75" hidden="false" customHeight="true" outlineLevel="0" collapsed="false">
      <c r="B28" s="1" t="n">
        <v>575</v>
      </c>
      <c r="C28" s="5" t="n">
        <f aca="false">(w_0/(120*E*I*L)) * (-B28^5 + 2*L^2*B28^3 - L^4*B28)</f>
        <v>-0.0114852340133102</v>
      </c>
      <c r="D28" s="6" t="n">
        <f aca="false">(w_0/(120*E*I*L)) * (-5*B28^4 + 6*L^2*B28^2 - L^4)</f>
        <v>0.000879295066550926</v>
      </c>
    </row>
    <row r="29" customFormat="false" ht="12.75" hidden="false" customHeight="true" outlineLevel="0" collapsed="false">
      <c r="B29" s="7" t="n">
        <v>600</v>
      </c>
      <c r="C29" s="8" t="n">
        <f aca="false">(w_0/(120*E*I*L)) * (-B29^5 + 2*L^2*B29^3 - L^4*B29)</f>
        <v>0</v>
      </c>
      <c r="D29" s="8" t="n">
        <f aca="false">(w_0/(120*E*I*L)) * (-5*B29^4 + 6*L^2*B29^2 - L^4)</f>
        <v>0</v>
      </c>
    </row>
    <row r="30" customFormat="false" ht="12.75" hidden="false" customHeight="true" outlineLevel="0" collapsed="false">
      <c r="B30" s="1" t="n">
        <v>625</v>
      </c>
      <c r="C30" s="5" t="n">
        <f aca="false">(w_0/(120*E*I*L)) * (-B30^5 + 2*L^2*B30^3 - L^4*B30)</f>
        <v>-0.013569019458912</v>
      </c>
      <c r="D30" s="6" t="n">
        <f aca="false">(w_0/(120*E*I*L)) * (-5*B30^4 + 6*L^2*B30^2 - L^4)</f>
        <v>-0.00112938548900463</v>
      </c>
    </row>
    <row r="31" customFormat="false" ht="12.75" hidden="false" customHeight="true" outlineLevel="0" collapsed="false">
      <c r="B31" s="1" t="n">
        <v>650</v>
      </c>
      <c r="C31" s="5" t="n">
        <f aca="false">(w_0/(120*E*I*L)) * (-B31^5 + 2*L^2*B31^3 - L^4*B31)</f>
        <v>-0.0587745949074074</v>
      </c>
      <c r="D31" s="5" t="n">
        <f aca="false">(w_0/(120*E*I*L)) * (-5*B31^4 + 6*L^2*B31^2 - L^4)</f>
        <v>-0.00253544560185185</v>
      </c>
    </row>
    <row r="32" customFormat="false" ht="12.75" hidden="false" customHeight="true" outlineLevel="0" collapsed="false">
      <c r="B32" s="1" t="n">
        <v>675</v>
      </c>
      <c r="C32" s="5" t="n">
        <f aca="false">(w_0/(120*E*I*L)) * (-B32^5 + 2*L^2*B32^3 - L^4*B32)</f>
        <v>-0.142877197265625</v>
      </c>
      <c r="D32" s="5" t="n">
        <f aca="false">(w_0/(120*E*I*L)) * (-5*B32^4 + 6*L^2*B32^2 - L^4)</f>
        <v>-0.004245849609375</v>
      </c>
    </row>
    <row r="33" customFormat="false" ht="12.75" hidden="false" customHeight="true" outlineLevel="0" collapsed="false">
      <c r="B33" s="1" t="n">
        <v>700</v>
      </c>
      <c r="C33" s="5" t="n">
        <f aca="false">(w_0/(120*E*I*L)) * (-B33^5 + 2*L^2*B33^3 - L^4*B33)</f>
        <v>-0.273842592592593</v>
      </c>
      <c r="D33" s="5" t="n">
        <f aca="false">(w_0/(120*E*I*L)) * (-5*B33^4 + 6*L^2*B33^2 - L^4)</f>
        <v>-0.00628935185185185</v>
      </c>
    </row>
    <row r="34" customFormat="false" ht="12.75" hidden="false" customHeight="true" outlineLevel="0" collapsed="false">
      <c r="B34" s="1" t="n">
        <v>725</v>
      </c>
      <c r="C34" s="5" t="n">
        <f aca="false">(w_0/(120*E*I*L)) * (-B34^5 + 2*L^2*B34^3 - L^4*B34)</f>
        <v>-0.460368968822338</v>
      </c>
      <c r="D34" s="5" t="n">
        <f aca="false">(w_0/(120*E*I*L)) * (-5*B34^4 + 6*L^2*B34^2 - L^4)</f>
        <v>-0.00869579173900463</v>
      </c>
    </row>
    <row r="35" customFormat="false" ht="12.75" hidden="false" customHeight="true" outlineLevel="0" collapsed="false">
      <c r="B35" s="1" t="n">
        <v>750</v>
      </c>
      <c r="C35" s="5" t="n">
        <f aca="false">(w_0/(120*E*I*L)) * (-B35^5 + 2*L^2*B35^3 - L^4*B35)</f>
        <v>-0.7119140625</v>
      </c>
      <c r="D35" s="5" t="n">
        <f aca="false">(w_0/(120*E*I*L)) * (-5*B35^4 + 6*L^2*B35^2 - L^4)</f>
        <v>-0.01149609375</v>
      </c>
    </row>
    <row r="36" customFormat="false" ht="12.75" hidden="false" customHeight="true" outlineLevel="0" collapsed="false">
      <c r="C36" s="9"/>
      <c r="D36" s="9"/>
    </row>
    <row r="37" customFormat="false" ht="12.75" hidden="false" customHeight="true" outlineLevel="0" collapsed="false">
      <c r="C37" s="9"/>
      <c r="D37" s="9"/>
    </row>
    <row r="38" customFormat="false" ht="12.75" hidden="false" customHeight="true" outlineLevel="0" collapsed="false">
      <c r="B38" s="4" t="s">
        <v>6</v>
      </c>
      <c r="C38" s="4" t="s">
        <v>7</v>
      </c>
      <c r="D38" s="4" t="s">
        <v>8</v>
      </c>
    </row>
    <row r="39" customFormat="false" ht="12.75" hidden="false" customHeight="true" outlineLevel="0" collapsed="false">
      <c r="B39" s="1" t="n">
        <v>575</v>
      </c>
      <c r="C39" s="5" t="n">
        <f aca="false">(w_0/(120*E*I*L)) * (-B39^5 + 2*L^2*B39^3 - L^4*B39)</f>
        <v>-0.0114852340133102</v>
      </c>
      <c r="D39" s="5" t="n">
        <f aca="false">(w_0/(120*E*I*L)) * (-5*B39^4 + 6*L^2*B39^2 - L^4)</f>
        <v>0.000879295066550926</v>
      </c>
    </row>
    <row r="40" customFormat="false" ht="12.75" hidden="false" customHeight="true" outlineLevel="0" collapsed="false">
      <c r="B40" s="1" t="n">
        <v>580</v>
      </c>
      <c r="C40" s="5" t="n">
        <f aca="false">(w_0/(120*E*I*L)) * (-B40^5 + 2*L^2*B40^3 - L^4*B40)</f>
        <v>-0.0074777037037037</v>
      </c>
      <c r="D40" s="5" t="n">
        <f aca="false">(w_0/(120*E*I*L)) * (-5*B40^4 + 6*L^2*B40^2 - L^4)</f>
        <v>0.000722203703703704</v>
      </c>
    </row>
    <row r="41" customFormat="false" ht="12.75" hidden="false" customHeight="true" outlineLevel="0" collapsed="false">
      <c r="B41" s="1" t="n">
        <v>585</v>
      </c>
      <c r="C41" s="5" t="n">
        <f aca="false">(w_0/(120*E*I*L)) * (-B41^5 + 2*L^2*B41^3 - L^4*B41)</f>
        <v>-0.004278498046875</v>
      </c>
      <c r="D41" s="5" t="n">
        <f aca="false">(w_0/(120*E*I*L)) * (-5*B41^4 + 6*L^2*B41^2 - L^4)</f>
        <v>0.000555931640625</v>
      </c>
    </row>
    <row r="42" customFormat="false" ht="12.75" hidden="false" customHeight="true" outlineLevel="0" collapsed="false">
      <c r="B42" s="1" t="n">
        <v>590</v>
      </c>
      <c r="C42" s="5" t="n">
        <f aca="false">(w_0/(120*E*I*L)) * (-B42^5 + 2*L^2*B42^3 - L^4*B42)</f>
        <v>-0.00193402546296296</v>
      </c>
      <c r="D42" s="5" t="n">
        <f aca="false">(w_0/(120*E*I*L)) * (-5*B42^4 + 6*L^2*B42^2 - L^4)</f>
        <v>0.00038027662037037</v>
      </c>
    </row>
    <row r="43" customFormat="false" ht="12.75" hidden="false" customHeight="true" outlineLevel="0" collapsed="false">
      <c r="B43" s="1" t="n">
        <v>595</v>
      </c>
      <c r="C43" s="5" t="n">
        <f aca="false">(w_0/(120*E*I*L)) * (-B43^5 + 2*L^2*B43^3 - L^4*B43)</f>
        <v>-0.000491709997106482</v>
      </c>
      <c r="D43" s="6" t="n">
        <f aca="false">(w_0/(120*E*I*L)) * (-5*B43^4 + 6*L^2*B43^2 - L^4)</f>
        <v>0.000195034649884259</v>
      </c>
    </row>
    <row r="44" customFormat="false" ht="12.75" hidden="false" customHeight="true" outlineLevel="0" collapsed="false">
      <c r="B44" s="7" t="n">
        <v>600</v>
      </c>
      <c r="C44" s="8" t="n">
        <f aca="false">(w_0/(120*E*I*L)) * (-B44^5 + 2*L^2*B44^3 - L^4*B44)</f>
        <v>0</v>
      </c>
      <c r="D44" s="8" t="n">
        <f aca="false">(w_0/(120*E*I*L)) * (-5*B44^4 + 6*L^2*B44^2 - L^4)</f>
        <v>0</v>
      </c>
    </row>
    <row r="45" customFormat="false" ht="12.75" hidden="false" customHeight="true" outlineLevel="0" collapsed="false">
      <c r="B45" s="1" t="n">
        <v>605</v>
      </c>
      <c r="C45" s="5" t="n">
        <f aca="false">(w_0/(120*E*I*L)) * (-B45^5 + 2*L^2*B45^3 - L^4*B45)</f>
        <v>-0.000508376808449074</v>
      </c>
      <c r="D45" s="6" t="n">
        <f aca="false">(w_0/(120*E*I*L)) * (-5*B45^4 + 6*L^2*B45^2 - L^4)</f>
        <v>-0.000205034794560185</v>
      </c>
    </row>
    <row r="46" customFormat="false" ht="12.75" hidden="false" customHeight="true" outlineLevel="0" collapsed="false">
      <c r="B46" s="1" t="n">
        <v>610</v>
      </c>
      <c r="C46" s="5" t="n">
        <f aca="false">(w_0/(120*E*I*L)) * (-B46^5 + 2*L^2*B46^3 - L^4*B46)</f>
        <v>-0.00206736342592593</v>
      </c>
      <c r="D46" s="5" t="n">
        <f aca="false">(w_0/(120*E*I*L)) * (-5*B46^4 + 6*L^2*B46^2 - L^4)</f>
        <v>-0.000420278935185185</v>
      </c>
    </row>
    <row r="47" customFormat="false" ht="12.75" hidden="false" customHeight="true" outlineLevel="0" collapsed="false">
      <c r="B47" s="1" t="n">
        <v>615</v>
      </c>
      <c r="C47" s="5" t="n">
        <f aca="false">(w_0/(120*E*I*L)) * (-B47^5 + 2*L^2*B47^3 - L^4*B47)</f>
        <v>-0.004728533203125</v>
      </c>
      <c r="D47" s="5" t="n">
        <f aca="false">(w_0/(120*E*I*L)) * (-5*B47^4 + 6*L^2*B47^2 - L^4)</f>
        <v>-0.000645943359375</v>
      </c>
    </row>
    <row r="48" customFormat="false" ht="12.75" hidden="false" customHeight="true" outlineLevel="0" collapsed="false">
      <c r="B48" s="1" t="n">
        <v>620</v>
      </c>
      <c r="C48" s="5" t="n">
        <f aca="false">(w_0/(120*E*I*L)) * (-B48^5 + 2*L^2*B48^3 - L^4*B48)</f>
        <v>-0.00854451851851852</v>
      </c>
      <c r="D48" s="5" t="n">
        <f aca="false">(w_0/(120*E*I*L)) * (-5*B48^4 + 6*L^2*B48^2 - L^4)</f>
        <v>-0.000882240740740741</v>
      </c>
    </row>
    <row r="49" customFormat="false" ht="12.75" hidden="false" customHeight="true" outlineLevel="0" collapsed="false">
      <c r="B49" s="1" t="n">
        <v>625</v>
      </c>
      <c r="C49" s="5" t="n">
        <f aca="false">(w_0/(120*E*I*L)) * (-B49^5 + 2*L^2*B49^3 - L^4*B49)</f>
        <v>-0.013569019458912</v>
      </c>
      <c r="D49" s="5" t="n">
        <f aca="false">(w_0/(120*E*I*L)) * (-5*B49^4 + 6*L^2*B49^2 - L^4)</f>
        <v>-0.00112938548900463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0.69921875" defaultRowHeight="12.8" zeroHeight="false" outlineLevelRow="0" outlineLevelCol="0"/>
  <cols>
    <col collapsed="false" customWidth="true" hidden="false" outlineLevel="0" max="2" min="1" style="1" width="4.5"/>
    <col collapsed="false" customWidth="false" hidden="false" outlineLevel="0" max="6" min="3" style="1" width="10.7"/>
    <col collapsed="false" customWidth="false" hidden="false" outlineLevel="0" max="8" min="7" style="2" width="10.7"/>
    <col collapsed="false" customWidth="false" hidden="false" outlineLevel="0" max="16384" min="9" style="1" width="10.7"/>
  </cols>
  <sheetData>
    <row r="2" customFormat="false" ht="12.8" hidden="false" customHeight="false" outlineLevel="0" collapsed="false">
      <c r="B2" s="3" t="s">
        <v>9</v>
      </c>
      <c r="C2" s="3"/>
    </row>
    <row r="4" customFormat="false" ht="12.8" hidden="false" customHeight="false" outlineLevel="0" collapsed="false"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</row>
    <row r="5" customFormat="false" ht="12.8" hidden="false" customHeight="false" outlineLevel="0" collapsed="false">
      <c r="B5" s="10" t="n">
        <v>1</v>
      </c>
      <c r="C5" s="11" t="n">
        <v>570</v>
      </c>
      <c r="D5" s="11" t="n">
        <v>700</v>
      </c>
      <c r="E5" s="5" t="n">
        <f aca="false">(w_0/(120*E*I*L)) * (-5*C5^4 + 6*L^2*C5^2 - L^4)</f>
        <v>0.00102740625</v>
      </c>
      <c r="F5" s="5" t="n">
        <f aca="false">(w_0/(120*E*I*L)) * (-5*D5^4 + 6*L^2*D5^2 - L^4)</f>
        <v>-0.00628935185185185</v>
      </c>
      <c r="G5" s="11" t="n">
        <f aca="false">C5+0.5*(D5-C5)</f>
        <v>635</v>
      </c>
      <c r="H5" s="5" t="n">
        <f aca="false">(w_0/(120*E*I*L)) * (-5*G5^4 + 6*L^2*G5^2 - L^4)</f>
        <v>-0.0016570834056713</v>
      </c>
      <c r="I5" s="11" t="n">
        <f aca="false">E5*H5</f>
        <v>-1.70249784775798E-006</v>
      </c>
      <c r="J5" s="11" t="n">
        <f aca="false">D5-C5</f>
        <v>130</v>
      </c>
      <c r="K5" s="11" t="n">
        <f aca="false">ABS((G5-0)/G5)*100</f>
        <v>100</v>
      </c>
    </row>
    <row r="6" customFormat="false" ht="12.8" hidden="false" customHeight="false" outlineLevel="0" collapsed="false">
      <c r="B6" s="10" t="n">
        <v>2</v>
      </c>
      <c r="C6" s="11" t="n">
        <f aca="false">IF(I5&lt;0,C5,G5)</f>
        <v>570</v>
      </c>
      <c r="D6" s="11" t="n">
        <f aca="false">IF(I5&lt;0,G5,D5)</f>
        <v>635</v>
      </c>
      <c r="E6" s="5" t="n">
        <f aca="false">(w_0/(120*E*I*L)) * (-5*C6^4 + 6*L^2*C6^2 - L^4)</f>
        <v>0.00102740625</v>
      </c>
      <c r="F6" s="5" t="n">
        <f aca="false">(w_0/(120*E*I*L)) * (-5*D6^4 + 6*L^2*D6^2 - L^4)</f>
        <v>-0.0016570834056713</v>
      </c>
      <c r="G6" s="11" t="n">
        <f aca="false">C6+0.5*(D6-C6)</f>
        <v>602.5</v>
      </c>
      <c r="H6" s="5" t="n">
        <f aca="false">(w_0/(120*E*I*L)) * (-5*G6^4 + 6*L^2*G6^2 - L^4)</f>
        <v>-0.0001012543447989</v>
      </c>
      <c r="I6" s="11" t="n">
        <f aca="false">E6*H6</f>
        <v>-1.04029346686045E-007</v>
      </c>
      <c r="J6" s="11" t="n">
        <f aca="false">D6-C6</f>
        <v>65</v>
      </c>
      <c r="K6" s="11" t="n">
        <f aca="false">ABS((G6-G5)/G6)*100</f>
        <v>5.3941908713693</v>
      </c>
    </row>
    <row r="7" customFormat="false" ht="12.8" hidden="false" customHeight="false" outlineLevel="0" collapsed="false">
      <c r="B7" s="10" t="n">
        <v>3</v>
      </c>
      <c r="C7" s="11" t="n">
        <f aca="false">IF(I6&lt;0,C6,G6)</f>
        <v>570</v>
      </c>
      <c r="D7" s="11" t="n">
        <f aca="false">IF(I6&lt;0,G6,D6)</f>
        <v>602.5</v>
      </c>
      <c r="E7" s="5" t="n">
        <f aca="false">(w_0/(120*E*I*L)) * (-5*C7^4 + 6*L^2*C7^2 - L^4)</f>
        <v>0.00102740625</v>
      </c>
      <c r="F7" s="5" t="n">
        <f aca="false">(w_0/(120*E*I*L)) * (-5*D7^4 + 6*L^2*D7^2 - L^4)</f>
        <v>-0.0001012543447989</v>
      </c>
      <c r="G7" s="11" t="n">
        <f aca="false">C7+0.5*(D7-C7)</f>
        <v>586.25</v>
      </c>
      <c r="H7" s="5" t="n">
        <f aca="false">(w_0/(120*E*I*L)) * (-5*G7^4 + 6*L^2*G7^2 - L^4)</f>
        <v>0.000512905476605451</v>
      </c>
      <c r="I7" s="11" t="n">
        <f aca="false">E7*H7</f>
        <v>5.26962292323669E-007</v>
      </c>
      <c r="J7" s="11" t="n">
        <f aca="false">D7-C7</f>
        <v>32.5</v>
      </c>
      <c r="K7" s="11" t="n">
        <f aca="false">ABS((G7-G6)/G7)*100</f>
        <v>2.77185501066098</v>
      </c>
    </row>
    <row r="8" customFormat="false" ht="12.8" hidden="false" customHeight="false" outlineLevel="0" collapsed="false">
      <c r="B8" s="10" t="n">
        <v>4</v>
      </c>
      <c r="C8" s="11" t="n">
        <f aca="false">IF(I7&lt;0,C7,G7)</f>
        <v>586.25</v>
      </c>
      <c r="D8" s="11" t="n">
        <f aca="false">IF(I7&lt;0,G7,D7)</f>
        <v>602.5</v>
      </c>
      <c r="E8" s="5" t="n">
        <f aca="false">(w_0/(120*E*I*L)) * (-5*C8^4 + 6*L^2*C8^2 - L^4)</f>
        <v>0.000512905476605451</v>
      </c>
      <c r="F8" s="5" t="n">
        <f aca="false">(w_0/(120*E*I*L)) * (-5*D8^4 + 6*L^2*D8^2 - L^4)</f>
        <v>-0.0001012543447989</v>
      </c>
      <c r="G8" s="11" t="n">
        <f aca="false">C8+0.5*(D8-C8)</f>
        <v>594.375</v>
      </c>
      <c r="H8" s="5" t="n">
        <f aca="false">(w_0/(120*E*I*L)) * (-5*G8^4 + 6*L^2*G8^2 - L^4)</f>
        <v>0.000218721197605133</v>
      </c>
      <c r="I8" s="11" t="n">
        <f aca="false">E8*H8</f>
        <v>1.12183300101376E-007</v>
      </c>
      <c r="J8" s="11" t="n">
        <f aca="false">D8-C8</f>
        <v>16.25</v>
      </c>
      <c r="K8" s="11" t="n">
        <f aca="false">ABS((G8-G7)/G8)*100</f>
        <v>1.36698212407992</v>
      </c>
    </row>
    <row r="9" customFormat="false" ht="12.8" hidden="false" customHeight="false" outlineLevel="0" collapsed="false">
      <c r="B9" s="10" t="n">
        <v>5</v>
      </c>
      <c r="C9" s="11" t="n">
        <f aca="false">IF(I8&lt;0,C8,G8)</f>
        <v>594.375</v>
      </c>
      <c r="D9" s="11" t="n">
        <f aca="false">IF(I8&lt;0,G8,D8)</f>
        <v>602.5</v>
      </c>
      <c r="E9" s="5" t="n">
        <f aca="false">(w_0/(120*E*I*L)) * (-5*C9^4 + 6*L^2*C9^2 - L^4)</f>
        <v>0.000218721197605133</v>
      </c>
      <c r="F9" s="5" t="n">
        <f aca="false">(w_0/(120*E*I*L)) * (-5*D9^4 + 6*L^2*D9^2 - L^4)</f>
        <v>-0.0001012543447989</v>
      </c>
      <c r="G9" s="11" t="n">
        <f aca="false">C9+0.5*(D9-C9)</f>
        <v>598.4375</v>
      </c>
      <c r="H9" s="5" t="n">
        <f aca="false">(w_0/(120*E*I*L)) * (-5*G9^4 + 6*L^2*G9^2 - L^4)</f>
        <v>6.20127776982597E-005</v>
      </c>
      <c r="I9" s="11" t="n">
        <f aca="false">E9*H9</f>
        <v>1.35635090049842E-008</v>
      </c>
      <c r="J9" s="11" t="n">
        <f aca="false">D9-C9</f>
        <v>8.125</v>
      </c>
      <c r="K9" s="11" t="n">
        <f aca="false">ABS((G9-G8)/G9)*100</f>
        <v>0.678851174934726</v>
      </c>
    </row>
    <row r="10" customFormat="false" ht="12.8" hidden="false" customHeight="false" outlineLevel="0" collapsed="false">
      <c r="B10" s="10" t="n">
        <v>6</v>
      </c>
      <c r="C10" s="11" t="n">
        <f aca="false">IF(I9&lt;0,C9,G9)</f>
        <v>598.4375</v>
      </c>
      <c r="D10" s="11" t="n">
        <f aca="false">IF(I9&lt;0,G9,D9)</f>
        <v>602.5</v>
      </c>
      <c r="E10" s="5" t="n">
        <f aca="false">(w_0/(120*E*I*L)) * (-5*C10^4 + 6*L^2*C10^2 - L^4)</f>
        <v>6.20127776982597E-005</v>
      </c>
      <c r="F10" s="5" t="n">
        <f aca="false">(w_0/(120*E*I*L)) * (-5*D10^4 + 6*L^2*D10^2 - L^4)</f>
        <v>-0.0001012543447989</v>
      </c>
      <c r="G10" s="11" t="n">
        <f aca="false">C10+0.5*(D10-C10)</f>
        <v>600.46875</v>
      </c>
      <c r="H10" s="5" t="n">
        <f aca="false">(w_0/(120*E*I*L)) * (-5*G10^4 + 6*L^2*G10^2 - L^4)</f>
        <v>-1.87939739283187E-005</v>
      </c>
      <c r="I10" s="11" t="n">
        <f aca="false">E10*H10</f>
        <v>-1.16546652728372E-009</v>
      </c>
      <c r="J10" s="11" t="n">
        <f aca="false">D10-C10</f>
        <v>4.0625</v>
      </c>
      <c r="K10" s="11" t="n">
        <f aca="false">ABS((G10-G9)/G10)*100</f>
        <v>0.338277387457715</v>
      </c>
    </row>
    <row r="11" customFormat="false" ht="12.8" hidden="false" customHeight="false" outlineLevel="0" collapsed="false">
      <c r="B11" s="10" t="n">
        <v>7</v>
      </c>
      <c r="C11" s="11" t="n">
        <f aca="false">IF(I10&lt;0,C10,G10)</f>
        <v>598.4375</v>
      </c>
      <c r="D11" s="11" t="n">
        <f aca="false">IF(I10&lt;0,G10,D10)</f>
        <v>600.46875</v>
      </c>
      <c r="E11" s="5" t="n">
        <f aca="false">(w_0/(120*E*I*L)) * (-5*C11^4 + 6*L^2*C11^2 - L^4)</f>
        <v>6.20127776982597E-005</v>
      </c>
      <c r="F11" s="5" t="n">
        <f aca="false">(w_0/(120*E*I*L)) * (-5*D11^4 + 6*L^2*D11^2 - L^4)</f>
        <v>-1.87939739283187E-005</v>
      </c>
      <c r="G11" s="11" t="n">
        <f aca="false">C11+0.5*(D11-C11)</f>
        <v>599.453125</v>
      </c>
      <c r="H11" s="5" t="n">
        <f aca="false">(w_0/(120*E*I*L)) * (-5*G11^4 + 6*L^2*G11^2 - L^4)</f>
        <v>2.18152309685064E-005</v>
      </c>
      <c r="I11" s="11" t="n">
        <f aca="false">E11*H11</f>
        <v>1.35282306848618E-009</v>
      </c>
      <c r="J11" s="11" t="n">
        <f aca="false">D11-C11</f>
        <v>2.03125</v>
      </c>
      <c r="K11" s="11" t="n">
        <f aca="false">ABS((G11-G10)/G11)*100</f>
        <v>0.169425257396064</v>
      </c>
    </row>
    <row r="12" customFormat="false" ht="12.8" hidden="false" customHeight="false" outlineLevel="0" collapsed="false">
      <c r="B12" s="10" t="n">
        <v>8</v>
      </c>
      <c r="C12" s="11" t="n">
        <f aca="false">IF(I11&lt;0,C11,G11)</f>
        <v>599.453125</v>
      </c>
      <c r="D12" s="11" t="n">
        <f aca="false">IF(I11&lt;0,G11,D11)</f>
        <v>600.46875</v>
      </c>
      <c r="E12" s="5" t="n">
        <f aca="false">(w_0/(120*E*I*L)) * (-5*C12^4 + 6*L^2*C12^2 - L^4)</f>
        <v>2.18152309685064E-005</v>
      </c>
      <c r="F12" s="5" t="n">
        <f aca="false">(w_0/(120*E*I*L)) * (-5*D12^4 + 6*L^2*D12^2 - L^4)</f>
        <v>-1.87939739283187E-005</v>
      </c>
      <c r="G12" s="11" t="n">
        <f aca="false">C12+0.5*(D12-C12)</f>
        <v>599.9609375</v>
      </c>
      <c r="H12" s="5" t="n">
        <f aca="false">(w_0/(120*E*I*L)) * (-5*G12^4 + 6*L^2*G12^2 - L^4)</f>
        <v>1.56219484077454E-006</v>
      </c>
      <c r="I12" s="11" t="n">
        <f aca="false">E12*H12</f>
        <v>3.40796412693056E-011</v>
      </c>
      <c r="J12" s="11" t="n">
        <f aca="false">D12-C12</f>
        <v>1.015625</v>
      </c>
      <c r="K12" s="11" t="n">
        <f aca="false">ABS((G12-G11)/G12)*100</f>
        <v>0.0846409271436942</v>
      </c>
    </row>
    <row r="13" customFormat="false" ht="12.8" hidden="false" customHeight="false" outlineLevel="0" collapsed="false">
      <c r="B13" s="10" t="n">
        <v>9</v>
      </c>
      <c r="C13" s="11" t="n">
        <f aca="false">IF(I12&lt;0,C12,G12)</f>
        <v>599.9609375</v>
      </c>
      <c r="D13" s="11" t="n">
        <f aca="false">IF(I12&lt;0,G12,D12)</f>
        <v>600.46875</v>
      </c>
      <c r="E13" s="5" t="n">
        <f aca="false">(w_0/(120*E*I*L)) * (-5*C13^4 + 6*L^2*C13^2 - L^4)</f>
        <v>1.56219484077454E-006</v>
      </c>
      <c r="F13" s="5" t="n">
        <f aca="false">(w_0/(120*E*I*L)) * (-5*D13^4 + 6*L^2*D13^2 - L^4)</f>
        <v>-1.87939739283187E-005</v>
      </c>
      <c r="G13" s="11" t="n">
        <f aca="false">C13+0.5*(D13-C13)</f>
        <v>600.21484375</v>
      </c>
      <c r="H13" s="5" t="n">
        <f aca="false">(w_0/(120*E*I*L)) * (-5*G13^4 + 6*L^2*G13^2 - L^4)</f>
        <v>-8.60298432227523E-006</v>
      </c>
      <c r="I13" s="11" t="n">
        <f aca="false">E13*H13</f>
        <v>-1.34395377235226E-011</v>
      </c>
      <c r="J13" s="11" t="n">
        <f aca="false">D13-C13</f>
        <v>0.5078125</v>
      </c>
      <c r="K13" s="11" t="n">
        <f aca="false">ABS((G13-G12)/G13)*100</f>
        <v>0.042302560931958</v>
      </c>
    </row>
    <row r="14" customFormat="false" ht="12.8" hidden="false" customHeight="false" outlineLevel="0" collapsed="false">
      <c r="B14" s="10" t="n">
        <v>10</v>
      </c>
      <c r="C14" s="11" t="n">
        <f aca="false">IF(I13&lt;0,C13,G13)</f>
        <v>599.9609375</v>
      </c>
      <c r="D14" s="11" t="n">
        <f aca="false">IF(I13&lt;0,G13,D13)</f>
        <v>600.21484375</v>
      </c>
      <c r="E14" s="5" t="n">
        <f aca="false">(w_0/(120*E*I*L)) * (-5*C14^4 + 6*L^2*C14^2 - L^4)</f>
        <v>1.56219484077454E-006</v>
      </c>
      <c r="F14" s="5" t="n">
        <f aca="false">(w_0/(120*E*I*L)) * (-5*D14^4 + 6*L^2*D14^2 - L^4)</f>
        <v>-8.60298432227523E-006</v>
      </c>
      <c r="G14" s="11" t="n">
        <f aca="false">C14+0.5*(D14-C14)</f>
        <v>600.087890625</v>
      </c>
      <c r="H14" s="5" t="n">
        <f aca="false">(w_0/(120*E*I*L)) * (-5*G14^4 + 6*L^2*G14^2 - L^4)</f>
        <v>-3.51717014099121E-006</v>
      </c>
      <c r="I14" s="11" t="n">
        <f aca="false">E14*H14</f>
        <v>-5.49450504838272E-012</v>
      </c>
      <c r="J14" s="11" t="n">
        <f aca="false">D14-C14</f>
        <v>0.25390625</v>
      </c>
      <c r="K14" s="11" t="n">
        <f aca="false">ABS((G14-G13)/G14)*100</f>
        <v>0.0211557551790916</v>
      </c>
    </row>
    <row r="15" customFormat="false" ht="12.8" hidden="false" customHeight="false" outlineLevel="0" collapsed="false">
      <c r="B15" s="10" t="n">
        <v>11</v>
      </c>
      <c r="C15" s="11" t="n">
        <f aca="false">IF(I14&lt;0,C14,G14)</f>
        <v>599.9609375</v>
      </c>
      <c r="D15" s="11" t="n">
        <f aca="false">IF(I14&lt;0,G14,D14)</f>
        <v>600.087890625</v>
      </c>
      <c r="E15" s="5" t="n">
        <f aca="false">(w_0/(120*E*I*L)) * (-5*C15^4 + 6*L^2*C15^2 - L^4)</f>
        <v>1.56219484077454E-006</v>
      </c>
      <c r="F15" s="5" t="n">
        <f aca="false">(w_0/(120*E*I*L)) * (-5*D15^4 + 6*L^2*D15^2 - L^4)</f>
        <v>-3.51717014099121E-006</v>
      </c>
      <c r="G15" s="11" t="n">
        <f aca="false">C15+0.5*(D15-C15)</f>
        <v>600.0244140625</v>
      </c>
      <c r="H15" s="5" t="n">
        <f aca="false">(w_0/(120*E*I*L)) * (-5*G15^4 + 6*L^2*G15^2 - L^4)</f>
        <v>-9.7668171333313E-007</v>
      </c>
      <c r="I15" s="11" t="n">
        <f aca="false">E15*H15</f>
        <v>-1.52576713364785E-012</v>
      </c>
      <c r="J15" s="11" t="n">
        <f aca="false">D15-C15</f>
        <v>0.126953125</v>
      </c>
      <c r="K15" s="11" t="n">
        <f aca="false">ABS((G15-G14)/G15)*100</f>
        <v>0.0105789966228588</v>
      </c>
    </row>
    <row r="16" customFormat="false" ht="12.8" hidden="false" customHeight="false" outlineLevel="0" collapsed="false">
      <c r="B16" s="10" t="n">
        <v>12</v>
      </c>
      <c r="C16" s="11" t="n">
        <f aca="false">IF(I15&lt;0,C15,G15)</f>
        <v>599.9609375</v>
      </c>
      <c r="D16" s="11" t="n">
        <f aca="false">IF(I15&lt;0,G15,D15)</f>
        <v>600.0244140625</v>
      </c>
      <c r="E16" s="5" t="n">
        <f aca="false">(w_0/(120*E*I*L)) * (-5*C16^4 + 6*L^2*C16^2 - L^4)</f>
        <v>1.56219484077454E-006</v>
      </c>
      <c r="F16" s="5" t="n">
        <f aca="false">(w_0/(120*E*I*L)) * (-5*D16^4 + 6*L^2*D16^2 - L^4)</f>
        <v>-9.7668171333313E-007</v>
      </c>
      <c r="G16" s="11" t="n">
        <f aca="false">C16+0.5*(D16-C16)</f>
        <v>599.99267578125</v>
      </c>
      <c r="H16" s="5" t="n">
        <f aca="false">(w_0/(120*E*I*L)) * (-5*G16^4 + 6*L^2*G16^2 - L^4)</f>
        <v>2.92958021274143E-007</v>
      </c>
      <c r="I16" s="11" t="n">
        <f aca="false">E16*H16</f>
        <v>4.57657509397983E-013</v>
      </c>
      <c r="J16" s="11" t="n">
        <f aca="false">D16-C16</f>
        <v>0.0634765625</v>
      </c>
      <c r="K16" s="11" t="n">
        <f aca="false">ABS((G16-G15)/G16)*100</f>
        <v>0.00528977811415341</v>
      </c>
    </row>
    <row r="17" customFormat="false" ht="12.8" hidden="false" customHeight="false" outlineLevel="0" collapsed="false">
      <c r="B17" s="10" t="n">
        <v>13</v>
      </c>
      <c r="C17" s="11" t="n">
        <f aca="false">IF(I16&lt;0,C16,G16)</f>
        <v>599.99267578125</v>
      </c>
      <c r="D17" s="11" t="n">
        <f aca="false">IF(I16&lt;0,G16,D16)</f>
        <v>600.0244140625</v>
      </c>
      <c r="E17" s="5" t="n">
        <f aca="false">(w_0/(120*E*I*L)) * (-5*C17^4 + 6*L^2*C17^2 - L^4)</f>
        <v>2.92958021274143E-007</v>
      </c>
      <c r="F17" s="5" t="n">
        <f aca="false">(w_0/(120*E*I*L)) * (-5*D17^4 + 6*L^2*D17^2 - L^4)</f>
        <v>-9.7668171333313E-007</v>
      </c>
      <c r="G17" s="11" t="n">
        <f aca="false">C17+0.5*(D17-C17)</f>
        <v>600.008544921875</v>
      </c>
      <c r="H17" s="5" t="n">
        <f aca="false">(w_0/(120*E*I*L)) * (-5*G17^4 + 6*L^2*G17^2 - L^4)</f>
        <v>-3.41811478311044E-007</v>
      </c>
      <c r="I17" s="11" t="n">
        <f aca="false">E17*H17</f>
        <v>-1.00136414334793E-013</v>
      </c>
      <c r="J17" s="11" t="n">
        <f aca="false">D17-C17</f>
        <v>0.03173828125</v>
      </c>
      <c r="K17" s="11" t="n">
        <f aca="false">ABS((G17-G16)/G17)*100</f>
        <v>0.00264481910454563</v>
      </c>
    </row>
    <row r="18" customFormat="false" ht="12.8" hidden="false" customHeight="false" outlineLevel="0" collapsed="false">
      <c r="B18" s="10" t="n">
        <v>14</v>
      </c>
      <c r="C18" s="11" t="n">
        <f aca="false">IF(I17&lt;0,C17,G17)</f>
        <v>599.99267578125</v>
      </c>
      <c r="D18" s="11" t="n">
        <f aca="false">IF(I17&lt;0,G17,D17)</f>
        <v>600.008544921875</v>
      </c>
      <c r="E18" s="5" t="n">
        <f aca="false">(w_0/(120*E*I*L)) * (-5*C18^4 + 6*L^2*C18^2 - L^4)</f>
        <v>2.92958021274143E-007</v>
      </c>
      <c r="F18" s="5" t="n">
        <f aca="false">(w_0/(120*E*I*L)) * (-5*D18^4 + 6*L^2*D18^2 - L^4)</f>
        <v>-3.41811478311044E-007</v>
      </c>
      <c r="G18" s="11" t="n">
        <f aca="false">C18+0.5*(D18-C18)</f>
        <v>600.000610351563</v>
      </c>
      <c r="H18" s="5" t="n">
        <f aca="false">(w_0/(120*E*I*L)) * (-5*G18^4 + 6*L^2*G18^2 - L^4)</f>
        <v>-2.44141370052762E-008</v>
      </c>
      <c r="I18" s="11" t="n">
        <f aca="false">E18*H18</f>
        <v>-7.15231726818153E-015</v>
      </c>
      <c r="J18" s="11" t="n">
        <f aca="false">D18-C18</f>
        <v>0.015869140625</v>
      </c>
      <c r="K18" s="11" t="n">
        <f aca="false">ABS((G18-G17)/G18)*100</f>
        <v>0.00132242704017432</v>
      </c>
    </row>
    <row r="19" customFormat="false" ht="12.8" hidden="false" customHeight="false" outlineLevel="0" collapsed="false">
      <c r="B19" s="10" t="n">
        <v>15</v>
      </c>
      <c r="C19" s="11" t="n">
        <f aca="false">IF(I18&lt;0,C18,G18)</f>
        <v>599.99267578125</v>
      </c>
      <c r="D19" s="11" t="n">
        <f aca="false">IF(I18&lt;0,G18,D18)</f>
        <v>600.000610351563</v>
      </c>
      <c r="E19" s="5" t="n">
        <f aca="false">(w_0/(120*E*I*L)) * (-5*C19^4 + 6*L^2*C19^2 - L^4)</f>
        <v>2.92958021274143E-007</v>
      </c>
      <c r="F19" s="5" t="n">
        <f aca="false">(w_0/(120*E*I*L)) * (-5*D19^4 + 6*L^2*D19^2 - L^4)</f>
        <v>-2.44141370052762E-008</v>
      </c>
      <c r="G19" s="11" t="n">
        <f aca="false">C19+0.5*(D19-C19)</f>
        <v>599.996643066406</v>
      </c>
      <c r="H19" s="5" t="n">
        <f aca="false">(w_0/(120*E*I*L)) * (-5*G19^4 + 6*L^2*G19^2 - L^4)</f>
        <v>1.34275089959039E-007</v>
      </c>
      <c r="I19" s="11" t="n">
        <f aca="false">E19*H19</f>
        <v>3.93369646608075E-014</v>
      </c>
      <c r="J19" s="11" t="n">
        <f aca="false">D19-C19</f>
        <v>0.0079345703125</v>
      </c>
      <c r="K19" s="11" t="n">
        <f aca="false">ABS((G19-G18)/G19)*100</f>
        <v>0.000661217892149258</v>
      </c>
    </row>
    <row r="20" customFormat="false" ht="12.8" hidden="false" customHeight="false" outlineLevel="0" collapsed="false">
      <c r="B20" s="10" t="n">
        <v>16</v>
      </c>
      <c r="C20" s="11" t="n">
        <f aca="false">IF(I19&lt;0,C19,G19)</f>
        <v>599.996643066406</v>
      </c>
      <c r="D20" s="11" t="n">
        <f aca="false">IF(I19&lt;0,G19,D19)</f>
        <v>600.000610351563</v>
      </c>
      <c r="E20" s="5" t="n">
        <f aca="false">(w_0/(120*E*I*L)) * (-5*C20^4 + 6*L^2*C20^2 - L^4)</f>
        <v>1.34275089959039E-007</v>
      </c>
      <c r="F20" s="5" t="n">
        <f aca="false">(w_0/(120*E*I*L)) * (-5*D20^4 + 6*L^2*D20^2 - L^4)</f>
        <v>-2.44141370052762E-008</v>
      </c>
      <c r="G20" s="11" t="n">
        <f aca="false">C20+0.5*(D20-C20)</f>
        <v>599.998626708984</v>
      </c>
      <c r="H20" s="5" t="n">
        <f aca="false">(w_0/(120*E*I*L)) * (-5*G20^4 + 6*L^2*G20^2 - L^4)</f>
        <v>5.49312634418629E-008</v>
      </c>
      <c r="I20" s="11" t="n">
        <f aca="false">E20*H20</f>
        <v>7.37590034021979E-015</v>
      </c>
      <c r="J20" s="11" t="n">
        <f aca="false">D20-C20</f>
        <v>0.00396728515625</v>
      </c>
      <c r="K20" s="11" t="n">
        <f aca="false">ABS((G20-G19)/G20)*100</f>
        <v>0.000330607853055491</v>
      </c>
    </row>
    <row r="21" customFormat="false" ht="12.8" hidden="false" customHeight="false" outlineLevel="0" collapsed="false">
      <c r="B21" s="10" t="n">
        <v>17</v>
      </c>
      <c r="C21" s="11" t="n">
        <f aca="false">IF(I20&lt;0,C20,G20)</f>
        <v>599.998626708984</v>
      </c>
      <c r="D21" s="11" t="n">
        <f aca="false">IF(I20&lt;0,G20,D20)</f>
        <v>600.000610351563</v>
      </c>
      <c r="E21" s="5" t="n">
        <f aca="false">(w_0/(120*E*I*L)) * (-5*C21^4 + 6*L^2*C21^2 - L^4)</f>
        <v>5.49312634418629E-008</v>
      </c>
      <c r="F21" s="5" t="n">
        <f aca="false">(w_0/(120*E*I*L)) * (-5*D21^4 + 6*L^2*D21^2 - L^4)</f>
        <v>-2.44141370052762E-008</v>
      </c>
      <c r="G21" s="11" t="n">
        <f aca="false">C21+0.5*(D21-C21)</f>
        <v>599.999618530273</v>
      </c>
      <c r="H21" s="5" t="n">
        <f aca="false">(w_0/(120*E*I*L)) * (-5*G21^4 + 6*L^2*G21^2 - L^4)</f>
        <v>1.52587599605984E-008</v>
      </c>
      <c r="I21" s="11" t="n">
        <f aca="false">E21*H21</f>
        <v>8.38182963191781E-016</v>
      </c>
      <c r="J21" s="11" t="n">
        <f aca="false">D21-C21</f>
        <v>0.001983642578125</v>
      </c>
      <c r="K21" s="11" t="n">
        <f aca="false">ABS((G21-G20)/G21)*100</f>
        <v>0.000165303653274316</v>
      </c>
    </row>
    <row r="22" customFormat="false" ht="12.8" hidden="false" customHeight="false" outlineLevel="0" collapsed="false">
      <c r="B22" s="10" t="n">
        <v>18</v>
      </c>
      <c r="C22" s="11" t="n">
        <f aca="false">IF(I21&lt;0,C21,G21)</f>
        <v>599.999618530273</v>
      </c>
      <c r="D22" s="11" t="n">
        <f aca="false">IF(I21&lt;0,G21,D21)</f>
        <v>600.000610351563</v>
      </c>
      <c r="E22" s="5" t="n">
        <f aca="false">(w_0/(120*E*I*L)) * (-5*C22^4 + 6*L^2*C22^2 - L^4)</f>
        <v>1.52587599605984E-008</v>
      </c>
      <c r="F22" s="5" t="n">
        <f aca="false">(w_0/(120*E*I*L)) * (-5*D22^4 + 6*L^2*D22^2 - L^4)</f>
        <v>-2.44141370052762E-008</v>
      </c>
      <c r="G22" s="11" t="n">
        <f aca="false">C22+0.5*(D22-C22)</f>
        <v>600.000114440918</v>
      </c>
      <c r="H22" s="5" t="n">
        <f aca="false">(w_0/(120*E*I*L)) * (-5*G22^4 + 6*L^2*G22^2 - L^4)</f>
        <v>-4.57763933817546E-009</v>
      </c>
      <c r="I22" s="11" t="n">
        <f aca="false">E22*H22</f>
        <v>-6.98490998474119E-017</v>
      </c>
      <c r="J22" s="11" t="n">
        <f aca="false">D22-C22</f>
        <v>0.0009918212890625</v>
      </c>
      <c r="K22" s="11" t="n">
        <f aca="false">ABS((G22-G21)/G22)*100</f>
        <v>8.26517583239698E-005</v>
      </c>
    </row>
    <row r="23" customFormat="false" ht="12.8" hidden="false" customHeight="false" outlineLevel="0" collapsed="false">
      <c r="B23" s="10" t="n">
        <v>19</v>
      </c>
      <c r="C23" s="11" t="n">
        <f aca="false">IF(I22&lt;0,C22,G22)</f>
        <v>599.999618530273</v>
      </c>
      <c r="D23" s="11" t="n">
        <f aca="false">IF(I22&lt;0,G22,D22)</f>
        <v>600.000114440918</v>
      </c>
      <c r="E23" s="5" t="n">
        <f aca="false">(w_0/(120*E*I*L)) * (-5*C23^4 + 6*L^2*C23^2 - L^4)</f>
        <v>1.52587599605984E-008</v>
      </c>
      <c r="F23" s="5" t="n">
        <f aca="false">(w_0/(120*E*I*L)) * (-5*D23^4 + 6*L^2*D23^2 - L^4)</f>
        <v>-4.57763933817546E-009</v>
      </c>
      <c r="G23" s="11" t="n">
        <f aca="false">C23+0.5*(D23-C23)</f>
        <v>599.999866485596</v>
      </c>
      <c r="H23" s="5" t="n">
        <f aca="false">(w_0/(120*E*I*L)) * (-5*G23^4 + 6*L^2*G23^2 - L^4)</f>
        <v>5.34057260583948E-009</v>
      </c>
      <c r="I23" s="11" t="n">
        <f aca="false">E23*H23</f>
        <v>8.14905154446523E-017</v>
      </c>
      <c r="J23" s="11" t="n">
        <f aca="false">D23-C23</f>
        <v>0.00049591064453125</v>
      </c>
      <c r="K23" s="11" t="n">
        <f aca="false">ABS((G23-G22)/G23)*100</f>
        <v>4.13258962402749E-005</v>
      </c>
    </row>
    <row r="24" customFormat="false" ht="12.8" hidden="false" customHeight="false" outlineLevel="0" collapsed="false">
      <c r="B24" s="10" t="n">
        <v>20</v>
      </c>
      <c r="C24" s="11" t="n">
        <f aca="false">IF(I23&lt;0,C23,G23)</f>
        <v>599.999866485596</v>
      </c>
      <c r="D24" s="11" t="n">
        <f aca="false">IF(I23&lt;0,G23,D23)</f>
        <v>600.000114440918</v>
      </c>
      <c r="E24" s="5" t="n">
        <f aca="false">(w_0/(120*E*I*L)) * (-5*C24^4 + 6*L^2*C24^2 - L^4)</f>
        <v>5.34057260583948E-009</v>
      </c>
      <c r="F24" s="5" t="n">
        <f aca="false">(w_0/(120*E*I*L)) * (-5*D24^4 + 6*L^2*D24^2 - L^4)</f>
        <v>-4.57763933817546E-009</v>
      </c>
      <c r="G24" s="11" t="n">
        <f aca="false">C24+0.5*(D24-C24)</f>
        <v>599.999990463257</v>
      </c>
      <c r="H24" s="5" t="n">
        <f aca="false">(w_0/(120*E*I*L)) * (-5*G24^4 + 6*L^2*G24^2 - L^4)</f>
        <v>3.8146970960829E-010</v>
      </c>
      <c r="I24" s="11" t="n">
        <f aca="false">E24*H24</f>
        <v>2.03726668109158E-018</v>
      </c>
      <c r="J24" s="11" t="n">
        <f aca="false">D24-C24</f>
        <v>0.000247955322265625</v>
      </c>
      <c r="K24" s="11" t="n">
        <f aca="false">ABS((G24-G23)/G24)*100</f>
        <v>2.06629438505641E-005</v>
      </c>
    </row>
    <row r="25" customFormat="false" ht="12.8" hidden="false" customHeight="false" outlineLevel="0" collapsed="false">
      <c r="B25" s="10" t="n">
        <v>21</v>
      </c>
      <c r="C25" s="11" t="n">
        <f aca="false">IF(I24&lt;0,C24,G24)</f>
        <v>599.999990463257</v>
      </c>
      <c r="D25" s="11" t="n">
        <f aca="false">IF(I24&lt;0,G24,D24)</f>
        <v>600.000114440918</v>
      </c>
      <c r="E25" s="5" t="n">
        <f aca="false">(w_0/(120*E*I*L)) * (-5*C25^4 + 6*L^2*C25^2 - L^4)</f>
        <v>3.8146970960829E-010</v>
      </c>
      <c r="F25" s="5" t="n">
        <f aca="false">(w_0/(120*E*I*L)) * (-5*D25^4 + 6*L^2*D25^2 - L^4)</f>
        <v>-4.57763933817546E-009</v>
      </c>
      <c r="G25" s="11" t="n">
        <f aca="false">C25+0.5*(D25-C25)</f>
        <v>600.000052452087</v>
      </c>
      <c r="H25" s="5" t="n">
        <f aca="false">(w_0/(120*E*I*L)) * (-5*G25^4 + 6*L^2*G25^2 - L^4)</f>
        <v>-2.09808404710558E-009</v>
      </c>
      <c r="I25" s="11" t="n">
        <f aca="false">E25*H25</f>
        <v>-8.0035551218315E-019</v>
      </c>
      <c r="J25" s="11" t="n">
        <f aca="false">D25-C25</f>
        <v>0.000123977661132813</v>
      </c>
      <c r="K25" s="11" t="n">
        <f aca="false">ABS((G25-G24)/G25)*100</f>
        <v>1.0331470857889E-005</v>
      </c>
    </row>
    <row r="26" customFormat="false" ht="12.8" hidden="false" customHeight="false" outlineLevel="0" collapsed="false">
      <c r="B26" s="10" t="n">
        <v>22</v>
      </c>
      <c r="C26" s="11" t="n">
        <f aca="false">IF(I25&lt;0,C25,G25)</f>
        <v>599.999990463257</v>
      </c>
      <c r="D26" s="11" t="n">
        <f aca="false">IF(I25&lt;0,G25,D25)</f>
        <v>600.000052452087</v>
      </c>
      <c r="E26" s="5" t="n">
        <f aca="false">(w_0/(120*E*I*L)) * (-5*C26^4 + 6*L^2*C26^2 - L^4)</f>
        <v>3.8146970960829E-010</v>
      </c>
      <c r="F26" s="5" t="n">
        <f aca="false">(w_0/(120*E*I*L)) * (-5*D26^4 + 6*L^2*D26^2 - L^4)</f>
        <v>-2.09808404710558E-009</v>
      </c>
      <c r="G26" s="11" t="n">
        <f aca="false">C26+0.5*(D26-C26)</f>
        <v>600.000021457672</v>
      </c>
      <c r="H26" s="5" t="n">
        <f aca="false">(w_0/(120*E*I*L)) * (-5*G26^4 + 6*L^2*G26^2 - L^4)</f>
        <v>-8.5830697801378E-010</v>
      </c>
      <c r="I26" s="11" t="n">
        <f aca="false">E26*H26</f>
        <v>-3.27418113657686E-019</v>
      </c>
      <c r="J26" s="11" t="n">
        <f aca="false">D26-C26</f>
        <v>6.19888305664063E-005</v>
      </c>
      <c r="K26" s="11" t="n">
        <f aca="false">ABS((G26-G25)/G26)*100</f>
        <v>5.16573569579275E-006</v>
      </c>
    </row>
    <row r="27" customFormat="false" ht="12.8" hidden="false" customHeight="false" outlineLevel="0" collapsed="false">
      <c r="B27" s="10" t="n">
        <v>23</v>
      </c>
      <c r="C27" s="11" t="n">
        <f aca="false">IF(I26&lt;0,C26,G26)</f>
        <v>599.999990463257</v>
      </c>
      <c r="D27" s="11" t="n">
        <f aca="false">IF(I26&lt;0,G26,D26)</f>
        <v>600.000021457672</v>
      </c>
      <c r="E27" s="5" t="n">
        <f aca="false">(w_0/(120*E*I*L)) * (-5*C27^4 + 6*L^2*C27^2 - L^4)</f>
        <v>3.8146970960829E-010</v>
      </c>
      <c r="F27" s="5" t="n">
        <f aca="false">(w_0/(120*E*I*L)) * (-5*D27^4 + 6*L^2*D27^2 - L^4)</f>
        <v>-8.5830697801378E-010</v>
      </c>
      <c r="G27" s="11" t="n">
        <f aca="false">C27+0.5*(D27-C27)</f>
        <v>600.000005960465</v>
      </c>
      <c r="H27" s="5" t="n">
        <f aca="false">(w_0/(120*E*I*L)) * (-5*G27^4 + 6*L^2*G27^2 - L^4)</f>
        <v>-2.38418584752966E-010</v>
      </c>
      <c r="I27" s="11" t="n">
        <f aca="false">E27*H27</f>
        <v>-9.09494682909334E-020</v>
      </c>
      <c r="J27" s="11" t="n">
        <f aca="false">D27-C27</f>
        <v>3.09944152832031E-005</v>
      </c>
      <c r="K27" s="11" t="n">
        <f aca="false">ABS((G27-G26)/G27)*100</f>
        <v>2.58286791460844E-006</v>
      </c>
    </row>
    <row r="28" customFormat="false" ht="12.8" hidden="false" customHeight="false" outlineLevel="0" collapsed="false">
      <c r="B28" s="10" t="n">
        <v>24</v>
      </c>
      <c r="C28" s="11" t="n">
        <f aca="false">IF(I27&lt;0,C27,G27)</f>
        <v>599.999990463257</v>
      </c>
      <c r="D28" s="11" t="n">
        <f aca="false">IF(I27&lt;0,G27,D27)</f>
        <v>600.000005960465</v>
      </c>
      <c r="E28" s="5" t="n">
        <f aca="false">(w_0/(120*E*I*L)) * (-5*C28^4 + 6*L^2*C28^2 - L^4)</f>
        <v>3.8146970960829E-010</v>
      </c>
      <c r="F28" s="5" t="n">
        <f aca="false">(w_0/(120*E*I*L)) * (-5*D28^4 + 6*L^2*D28^2 - L^4)</f>
        <v>-2.38418584752966E-010</v>
      </c>
      <c r="G28" s="11" t="n">
        <f aca="false">C28+0.5*(D28-C28)</f>
        <v>599.999998211861</v>
      </c>
      <c r="H28" s="5" t="n">
        <f aca="false">(w_0/(120*E*I*L)) * (-5*G28^4 + 6*L^2*G28^2 - L^4)</f>
        <v>7.15255737304687E-011</v>
      </c>
      <c r="I28" s="11" t="n">
        <f aca="false">E28*H28</f>
        <v>2.72848398405282E-020</v>
      </c>
      <c r="J28" s="11" t="n">
        <f aca="false">D28-C28</f>
        <v>1.54972076416016E-005</v>
      </c>
      <c r="K28" s="11" t="n">
        <f aca="false">ABS((G28-G27)/G28)*100</f>
        <v>1.29143397398224E-006</v>
      </c>
    </row>
    <row r="29" customFormat="false" ht="12.8" hidden="false" customHeight="false" outlineLevel="0" collapsed="false">
      <c r="B29" s="10" t="n">
        <v>25</v>
      </c>
      <c r="C29" s="11" t="n">
        <f aca="false">IF(I28&lt;0,C28,G28)</f>
        <v>599.999998211861</v>
      </c>
      <c r="D29" s="11" t="n">
        <f aca="false">IF(I28&lt;0,G28,D28)</f>
        <v>600.000005960465</v>
      </c>
      <c r="E29" s="5" t="n">
        <f aca="false">(w_0/(120*E*I*L)) * (-5*C29^4 + 6*L^2*C29^2 - L^4)</f>
        <v>7.15255737304687E-011</v>
      </c>
      <c r="F29" s="5" t="n">
        <f aca="false">(w_0/(120*E*I*L)) * (-5*D29^4 + 6*L^2*D29^2 - L^4)</f>
        <v>-2.38418584752966E-010</v>
      </c>
      <c r="G29" s="11" t="n">
        <f aca="false">C29+0.5*(D29-C29)</f>
        <v>600.000002086163</v>
      </c>
      <c r="H29" s="5" t="n">
        <f aca="false">(w_0/(120*E*I*L)) * (-5*G29^4 + 6*L^2*G29^2 - L^4)</f>
        <v>-8.34465055112486E-011</v>
      </c>
      <c r="I29" s="11" t="n">
        <f aca="false">E29*H29</f>
        <v>-5.96855918249477E-021</v>
      </c>
      <c r="J29" s="11" t="n">
        <f aca="false">D29-C29</f>
        <v>7.74860382080078E-006</v>
      </c>
      <c r="K29" s="11" t="n">
        <f aca="false">ABS((G29-G28)/G29)*100</f>
        <v>6.45716982821614E-007</v>
      </c>
    </row>
    <row r="30" customFormat="false" ht="12.8" hidden="false" customHeight="false" outlineLevel="0" collapsed="false">
      <c r="B30" s="10" t="n">
        <v>26</v>
      </c>
      <c r="C30" s="11" t="n">
        <f aca="false">IF(I29&lt;0,C29,G29)</f>
        <v>599.999998211861</v>
      </c>
      <c r="D30" s="11" t="n">
        <f aca="false">IF(I29&lt;0,G29,D29)</f>
        <v>600.000002086163</v>
      </c>
      <c r="E30" s="5" t="n">
        <f aca="false">(w_0/(120*E*I*L)) * (-5*C30^4 + 6*L^2*C30^2 - L^4)</f>
        <v>7.15255737304687E-011</v>
      </c>
      <c r="F30" s="5" t="n">
        <f aca="false">(w_0/(120*E*I*L)) * (-5*D30^4 + 6*L^2*D30^2 - L^4)</f>
        <v>-8.34465055112486E-011</v>
      </c>
      <c r="G30" s="11" t="n">
        <f aca="false">C30+0.5*(D30-C30)</f>
        <v>600.000000149012</v>
      </c>
      <c r="H30" s="5" t="n">
        <f aca="false">(w_0/(120*E*I*L)) * (-5*G30^4 + 6*L^2*G30^2 - L^4)</f>
        <v>-5.96046730324074E-012</v>
      </c>
      <c r="I30" s="11" t="n">
        <f aca="false">E30*H30</f>
        <v>-4.26325843565994E-022</v>
      </c>
      <c r="J30" s="11" t="n">
        <f aca="false">D30-C30</f>
        <v>3.87430191040039E-006</v>
      </c>
      <c r="K30" s="11" t="n">
        <f aca="false">ABS((G30-G29)/G30)*100</f>
        <v>3.22858492453183E-007</v>
      </c>
    </row>
    <row r="31" customFormat="false" ht="12.8" hidden="false" customHeight="false" outlineLevel="0" collapsed="false">
      <c r="B31" s="10" t="n">
        <v>27</v>
      </c>
      <c r="C31" s="11" t="n">
        <f aca="false">IF(I30&lt;0,C30,G30)</f>
        <v>599.999998211861</v>
      </c>
      <c r="D31" s="11" t="n">
        <f aca="false">IF(I30&lt;0,G30,D30)</f>
        <v>600.000000149012</v>
      </c>
      <c r="E31" s="5" t="n">
        <f aca="false">(w_0/(120*E*I*L)) * (-5*C31^4 + 6*L^2*C31^2 - L^4)</f>
        <v>7.15255737304687E-011</v>
      </c>
      <c r="F31" s="5" t="n">
        <f aca="false">(w_0/(120*E*I*L)) * (-5*D31^4 + 6*L^2*D31^2 - L^4)</f>
        <v>-5.96046730324074E-012</v>
      </c>
      <c r="G31" s="11" t="n">
        <f aca="false">C31+0.5*(D31-C31)</f>
        <v>599.999999180436</v>
      </c>
      <c r="H31" s="5" t="n">
        <f aca="false">(w_0/(120*E*I*L)) * (-5*G31^4 + 6*L^2*G31^2 - L^4)</f>
        <v>3.2782553213614E-011</v>
      </c>
      <c r="I31" s="11" t="n">
        <f aca="false">E31*H31</f>
        <v>2.34479092695336E-021</v>
      </c>
      <c r="J31" s="11" t="n">
        <f aca="false">D31-C31</f>
        <v>1.9371509552002E-006</v>
      </c>
      <c r="K31" s="11" t="n">
        <f aca="false">ABS((G31-G30)/G31)*100</f>
        <v>1.61429246487186E-007</v>
      </c>
    </row>
    <row r="32" customFormat="false" ht="12.8" hidden="false" customHeight="false" outlineLevel="0" collapsed="false">
      <c r="B32" s="10" t="n">
        <v>28</v>
      </c>
      <c r="C32" s="11" t="n">
        <f aca="false">IF(I31&lt;0,C31,G31)</f>
        <v>599.999999180436</v>
      </c>
      <c r="D32" s="11" t="n">
        <f aca="false">IF(I31&lt;0,G31,D31)</f>
        <v>600.000000149012</v>
      </c>
      <c r="E32" s="5" t="n">
        <f aca="false">(w_0/(120*E*I*L)) * (-5*C32^4 + 6*L^2*C32^2 - L^4)</f>
        <v>3.2782553213614E-011</v>
      </c>
      <c r="F32" s="5" t="n">
        <f aca="false">(w_0/(120*E*I*L)) * (-5*D32^4 + 6*L^2*D32^2 - L^4)</f>
        <v>-5.96046730324074E-012</v>
      </c>
      <c r="G32" s="12" t="n">
        <f aca="false">C32+0.5*(D32-C32)</f>
        <v>599.999999664724</v>
      </c>
      <c r="H32" s="5" t="n">
        <f aca="false">(w_0/(120*E*I*L)) * (-5*G32^4 + 6*L^2*G32^2 - L^4)</f>
        <v>1.34110429551866E-011</v>
      </c>
      <c r="I32" s="11" t="n">
        <f aca="false">E32*H32</f>
        <v>4.39648229328469E-022</v>
      </c>
      <c r="J32" s="11" t="n">
        <f aca="false">D32-C32</f>
        <v>9.68575477600098E-007</v>
      </c>
      <c r="K32" s="11" t="n">
        <f aca="false">ABS((G32-G31)/G32)*100</f>
        <v>8.07146231784443E-008</v>
      </c>
    </row>
    <row r="33" customFormat="false" ht="12.8" hidden="false" customHeight="false" outlineLevel="0" collapsed="false">
      <c r="B33" s="10"/>
      <c r="C33" s="11"/>
      <c r="D33" s="11"/>
      <c r="E33" s="5"/>
      <c r="F33" s="5"/>
      <c r="G33" s="11"/>
      <c r="H33" s="5"/>
      <c r="I33" s="11"/>
      <c r="J33" s="11"/>
      <c r="K33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0.69921875" defaultRowHeight="13.8" zeroHeight="false" outlineLevelRow="0" outlineLevelCol="0"/>
  <cols>
    <col collapsed="false" customWidth="true" hidden="false" outlineLevel="0" max="1" min="1" style="1" width="4.5"/>
    <col collapsed="false" customWidth="false" hidden="false" outlineLevel="0" max="3" min="2" style="1" width="10.7"/>
    <col collapsed="false" customWidth="true" hidden="false" outlineLevel="0" max="4" min="4" style="1" width="4.5"/>
    <col collapsed="false" customWidth="false" hidden="false" outlineLevel="0" max="5" min="5" style="1" width="10.7"/>
    <col collapsed="false" customWidth="false" hidden="false" outlineLevel="0" max="6" min="6" style="2" width="10.7"/>
    <col collapsed="false" customWidth="true" hidden="false" outlineLevel="0" max="7" min="7" style="2" width="4.5"/>
    <col collapsed="false" customWidth="false" hidden="false" outlineLevel="0" max="9" min="8" style="1" width="10.7"/>
    <col collapsed="false" customWidth="true" hidden="false" outlineLevel="0" max="10" min="10" style="1" width="4.5"/>
    <col collapsed="false" customWidth="false" hidden="false" outlineLevel="0" max="16382" min="11" style="1" width="10.7"/>
    <col collapsed="false" customWidth="true" hidden="false" outlineLevel="0" max="16384" min="16383" style="0" width="10.16"/>
  </cols>
  <sheetData>
    <row r="1" customFormat="false" ht="12.75" hidden="false" customHeight="true" outlineLevel="0" collapsed="false">
      <c r="G1" s="1"/>
    </row>
    <row r="2" customFormat="false" ht="12.75" hidden="false" customHeight="true" outlineLevel="0" collapsed="false">
      <c r="B2" s="3" t="s">
        <v>20</v>
      </c>
      <c r="G2" s="1"/>
    </row>
    <row r="3" customFormat="false" ht="12.75" hidden="false" customHeight="true" outlineLevel="0" collapsed="false">
      <c r="G3" s="1"/>
    </row>
    <row r="4" customFormat="false" ht="12.75" hidden="false" customHeight="true" outlineLevel="0" collapsed="false">
      <c r="A4" s="2"/>
      <c r="B4" s="4" t="s">
        <v>21</v>
      </c>
      <c r="C4" s="4" t="s">
        <v>22</v>
      </c>
      <c r="D4" s="2"/>
      <c r="E4" s="4" t="s">
        <v>21</v>
      </c>
      <c r="F4" s="4" t="s">
        <v>22</v>
      </c>
      <c r="H4" s="4" t="s">
        <v>21</v>
      </c>
      <c r="I4" s="4" t="s">
        <v>22</v>
      </c>
    </row>
    <row r="5" customFormat="false" ht="12.75" hidden="false" customHeight="true" outlineLevel="0" collapsed="false">
      <c r="B5" s="2" t="n">
        <v>500</v>
      </c>
      <c r="C5" s="13" t="n">
        <f aca="false"> (-5*B5^4 + 6*L^2*B5^2 - L^4) + B5</f>
        <v>97900000500</v>
      </c>
      <c r="E5" s="14" t="n">
        <v>500</v>
      </c>
      <c r="F5" s="14" t="n">
        <f aca="false">SQRT((5*E5^4 + L^4) / (6*L^2))</f>
        <v>452.4112354108</v>
      </c>
      <c r="G5" s="1"/>
      <c r="H5" s="14" t="n">
        <v>500</v>
      </c>
      <c r="I5" s="14" t="n">
        <f aca="false">POWER((6*L^2*H5^2 - L^4) / 5, 0.25)</f>
        <v>535.253279552325</v>
      </c>
    </row>
    <row r="6" customFormat="false" ht="12.75" hidden="false" customHeight="true" outlineLevel="0" collapsed="false">
      <c r="B6" s="13" t="n">
        <f aca="false">C5</f>
        <v>97900000500</v>
      </c>
      <c r="C6" s="13" t="n">
        <f aca="false"> (-5*B6^4 + 6*L^2*B6^2 - L^4) + B6</f>
        <v>-4.59304584623637E+044</v>
      </c>
      <c r="E6" s="14" t="n">
        <f aca="false">F5</f>
        <v>452.4112354108</v>
      </c>
      <c r="F6" s="14" t="n">
        <f aca="false">SQRT((5*E6^4 + L^4) / (6*L^2))</f>
        <v>396.197886670201</v>
      </c>
      <c r="G6" s="1"/>
      <c r="H6" s="14" t="n">
        <f aca="false">I5</f>
        <v>535.253279552325</v>
      </c>
      <c r="I6" s="14" t="n">
        <f aca="false">POWER((6*L^2*H6^2 - L^4) / 5, 0.25)</f>
        <v>559.288778753823</v>
      </c>
    </row>
    <row r="7" customFormat="false" ht="12.75" hidden="false" customHeight="true" outlineLevel="0" collapsed="false">
      <c r="B7" s="13" t="n">
        <f aca="false">C6</f>
        <v>-4.59304584623637E+044</v>
      </c>
      <c r="C7" s="13" t="n">
        <f aca="false"> (-5*B7^4 + 6*L^2*B7^2 - L^4) + B7</f>
        <v>-2.22522087794654E+179</v>
      </c>
      <c r="E7" s="14" t="n">
        <f aca="false">F6</f>
        <v>396.197886670201</v>
      </c>
      <c r="F7" s="14" t="n">
        <f aca="false">SQRT((5*E7^4 + L^4) / (6*L^2))</f>
        <v>342.108281936119</v>
      </c>
      <c r="G7" s="1"/>
      <c r="H7" s="14" t="n">
        <f aca="false">I6</f>
        <v>559.288778753823</v>
      </c>
      <c r="I7" s="14" t="n">
        <f aca="false">POWER((6*L^2*H7^2 - L^4) / 5, 0.25)</f>
        <v>574.866360068646</v>
      </c>
    </row>
    <row r="8" customFormat="false" ht="12.75" hidden="false" customHeight="true" outlineLevel="0" collapsed="false">
      <c r="B8" s="13" t="n">
        <f aca="false">C7</f>
        <v>-2.22522087794654E+179</v>
      </c>
      <c r="C8" s="13" t="e">
        <f aca="false"> (-5*B8^4 + 6*L^2*B8^2 - L^4) + B8</f>
        <v>#NUM!</v>
      </c>
      <c r="E8" s="14" t="n">
        <f aca="false">F7</f>
        <v>342.108281936119</v>
      </c>
      <c r="F8" s="14" t="n">
        <f aca="false">SQRT((5*E8^4 + L^4) / (6*L^2))</f>
        <v>302.833499079013</v>
      </c>
      <c r="H8" s="14" t="n">
        <f aca="false">I7</f>
        <v>574.866360068646</v>
      </c>
      <c r="I8" s="14" t="n">
        <f aca="false">POWER((6*L^2*H8^2 - L^4) / 5, 0.25)</f>
        <v>584.65712499616</v>
      </c>
    </row>
    <row r="9" customFormat="false" ht="12.75" hidden="false" customHeight="true" outlineLevel="0" collapsed="false">
      <c r="B9" s="13"/>
      <c r="C9" s="13"/>
      <c r="E9" s="14" t="n">
        <f aca="false">F8</f>
        <v>302.833499079013</v>
      </c>
      <c r="F9" s="14" t="n">
        <f aca="false">SQRT((5*E9^4 + L^4) / (6*L^2))</f>
        <v>281.901532468216</v>
      </c>
      <c r="H9" s="14" t="n">
        <f aca="false">I8</f>
        <v>584.65712499616</v>
      </c>
      <c r="I9" s="14" t="n">
        <f aca="false">POWER((6*L^2*H9^2 - L^4) / 5, 0.25)</f>
        <v>590.697880524607</v>
      </c>
    </row>
    <row r="10" customFormat="false" ht="12.75" hidden="false" customHeight="true" outlineLevel="0" collapsed="false">
      <c r="B10" s="13"/>
      <c r="C10" s="13"/>
      <c r="E10" s="14" t="n">
        <f aca="false">F9</f>
        <v>281.901532468216</v>
      </c>
      <c r="F10" s="14" t="n">
        <f aca="false">SQRT((5*E10^4 + L^4) / (6*L^2))</f>
        <v>273.16406666594</v>
      </c>
      <c r="H10" s="14" t="n">
        <f aca="false">I9</f>
        <v>590.697880524607</v>
      </c>
      <c r="I10" s="14" t="n">
        <f aca="false">POWER((6*L^2*H10^2 - L^4) / 5, 0.25)</f>
        <v>594.383624815093</v>
      </c>
    </row>
    <row r="11" customFormat="false" ht="12.75" hidden="false" customHeight="true" outlineLevel="0" collapsed="false">
      <c r="B11" s="13"/>
      <c r="C11" s="13"/>
      <c r="E11" s="14" t="n">
        <f aca="false">F10</f>
        <v>273.16406666594</v>
      </c>
      <c r="F11" s="14" t="n">
        <f aca="false">SQRT((5*E11^4 + L^4) / (6*L^2))</f>
        <v>269.979151106907</v>
      </c>
      <c r="H11" s="14" t="n">
        <f aca="false">I10</f>
        <v>594.383624815093</v>
      </c>
      <c r="I11" s="14" t="n">
        <f aca="false">POWER((6*L^2*H11^2 - L^4) / 5, 0.25)</f>
        <v>596.617449966196</v>
      </c>
    </row>
    <row r="12" customFormat="false" ht="12.75" hidden="false" customHeight="true" outlineLevel="0" collapsed="false">
      <c r="B12" s="13"/>
      <c r="C12" s="13"/>
      <c r="E12" s="14" t="n">
        <f aca="false">F11</f>
        <v>269.979151106907</v>
      </c>
      <c r="F12" s="14" t="n">
        <f aca="false">SQRT((5*E12^4 + L^4) / (6*L^2))</f>
        <v>268.883014951337</v>
      </c>
      <c r="H12" s="14" t="n">
        <f aca="false">I11</f>
        <v>596.617449966196</v>
      </c>
      <c r="I12" s="14" t="n">
        <f aca="false">POWER((6*L^2*H12^2 - L^4) / 5, 0.25)</f>
        <v>597.965869949023</v>
      </c>
    </row>
    <row r="13" customFormat="false" ht="12.75" hidden="false" customHeight="true" outlineLevel="0" collapsed="false">
      <c r="B13" s="13"/>
      <c r="C13" s="13"/>
      <c r="E13" s="14" t="n">
        <f aca="false">F12</f>
        <v>268.883014951337</v>
      </c>
      <c r="F13" s="14" t="n">
        <f aca="false">SQRT((5*E13^4 + L^4) / (6*L^2))</f>
        <v>268.513620223904</v>
      </c>
      <c r="H13" s="14" t="n">
        <f aca="false">I12</f>
        <v>597.965869949023</v>
      </c>
      <c r="I13" s="14" t="n">
        <f aca="false">POWER((6*L^2*H13^2 - L^4) / 5, 0.25)</f>
        <v>598.77786182566</v>
      </c>
    </row>
    <row r="14" customFormat="false" ht="12.75" hidden="false" customHeight="true" outlineLevel="0" collapsed="false">
      <c r="B14" s="13"/>
      <c r="C14" s="13"/>
      <c r="E14" s="14" t="n">
        <f aca="false">F13</f>
        <v>268.513620223904</v>
      </c>
      <c r="F14" s="14" t="n">
        <f aca="false">SQRT((5*E14^4 + L^4) / (6*L^2))</f>
        <v>268.390035263542</v>
      </c>
      <c r="H14" s="14" t="n">
        <f aca="false">I13</f>
        <v>598.77786182566</v>
      </c>
      <c r="I14" s="14" t="n">
        <f aca="false">POWER((6*L^2*H14^2 - L^4) / 5, 0.25)</f>
        <v>599.26611854889</v>
      </c>
    </row>
    <row r="15" customFormat="false" ht="12.75" hidden="false" customHeight="true" outlineLevel="0" collapsed="false">
      <c r="B15" s="13"/>
      <c r="C15" s="13"/>
      <c r="E15" s="14" t="n">
        <f aca="false">F14</f>
        <v>268.390035263542</v>
      </c>
      <c r="F15" s="14" t="n">
        <f aca="false">SQRT((5*E15^4 + L^4) / (6*L^2))</f>
        <v>268.348789630396</v>
      </c>
      <c r="H15" s="14" t="n">
        <f aca="false">I14</f>
        <v>599.26611854889</v>
      </c>
      <c r="I15" s="14" t="n">
        <f aca="false">POWER((6*L^2*H15^2 - L^4) / 5, 0.25)</f>
        <v>599.559455459053</v>
      </c>
    </row>
    <row r="16" customFormat="false" ht="12.75" hidden="false" customHeight="true" outlineLevel="0" collapsed="false">
      <c r="B16" s="13"/>
      <c r="C16" s="13"/>
      <c r="E16" s="14" t="n">
        <f aca="false">F15</f>
        <v>268.348789630396</v>
      </c>
      <c r="F16" s="14" t="n">
        <f aca="false">SQRT((5*E16^4 + L^4) / (6*L^2))</f>
        <v>268.335035448566</v>
      </c>
      <c r="H16" s="14" t="n">
        <f aca="false">I15</f>
        <v>599.559455459053</v>
      </c>
      <c r="I16" s="14" t="n">
        <f aca="false">POWER((6*L^2*H16^2 - L^4) / 5, 0.25)</f>
        <v>599.735595592291</v>
      </c>
    </row>
    <row r="17" customFormat="false" ht="12.75" hidden="false" customHeight="true" outlineLevel="0" collapsed="false">
      <c r="B17" s="13"/>
      <c r="C17" s="13"/>
      <c r="E17" s="14" t="n">
        <f aca="false">F16</f>
        <v>268.335035448566</v>
      </c>
      <c r="F17" s="14" t="n">
        <f aca="false">SQRT((5*E17^4 + L^4) / (6*L^2))</f>
        <v>268.330450094533</v>
      </c>
      <c r="H17" s="14" t="n">
        <f aca="false">I16</f>
        <v>599.735595592291</v>
      </c>
      <c r="I17" s="14" t="n">
        <f aca="false">POWER((6*L^2*H17^2 - L^4) / 5, 0.25)</f>
        <v>599.841329380402</v>
      </c>
    </row>
    <row r="18" customFormat="false" ht="12.75" hidden="false" customHeight="true" outlineLevel="0" collapsed="false">
      <c r="B18" s="13"/>
      <c r="C18" s="13"/>
      <c r="E18" s="14" t="n">
        <f aca="false">F17</f>
        <v>268.330450094533</v>
      </c>
      <c r="F18" s="14" t="n">
        <f aca="false">SQRT((5*E18^4 + L^4) / (6*L^2))</f>
        <v>268.328921573535</v>
      </c>
      <c r="H18" s="14" t="n">
        <f aca="false">I17</f>
        <v>599.841329380402</v>
      </c>
      <c r="I18" s="14" t="n">
        <f aca="false">POWER((6*L^2*H18^2 - L^4) / 5, 0.25)</f>
        <v>599.904787555297</v>
      </c>
    </row>
    <row r="19" customFormat="false" ht="12.75" hidden="false" customHeight="true" outlineLevel="0" collapsed="false">
      <c r="B19" s="13"/>
      <c r="C19" s="13"/>
      <c r="E19" s="14" t="n">
        <f aca="false">F18</f>
        <v>268.328921573535</v>
      </c>
      <c r="F19" s="14" t="n">
        <f aca="false">SQRT((5*E19^4 + L^4) / (6*L^2))</f>
        <v>268.328412058796</v>
      </c>
      <c r="H19" s="14" t="n">
        <f aca="false">I18</f>
        <v>599.904787555297</v>
      </c>
      <c r="I19" s="14" t="n">
        <f aca="false">POWER((6*L^2*H19^2 - L^4) / 5, 0.25)</f>
        <v>599.942868906497</v>
      </c>
    </row>
    <row r="20" customFormat="false" ht="13.8" hidden="false" customHeight="false" outlineLevel="0" collapsed="false">
      <c r="C20" s="2"/>
      <c r="E20" s="14" t="n">
        <f aca="false">F19</f>
        <v>268.328412058796</v>
      </c>
      <c r="F20" s="14" t="n">
        <f aca="false">SQRT((5*E20^4 + L^4) / (6*L^2))</f>
        <v>268.328242219689</v>
      </c>
      <c r="H20" s="14" t="n">
        <f aca="false">I19</f>
        <v>599.942868906497</v>
      </c>
      <c r="I20" s="14" t="n">
        <f aca="false">POWER((6*L^2*H20^2 - L^4) / 5, 0.25)</f>
        <v>599.965720038201</v>
      </c>
    </row>
    <row r="21" customFormat="false" ht="13.8" hidden="false" customHeight="false" outlineLevel="0" collapsed="false">
      <c r="C21" s="2"/>
      <c r="E21" s="14" t="n">
        <f aca="false">F20</f>
        <v>268.328242219689</v>
      </c>
      <c r="F21" s="14" t="n">
        <f aca="false">SQRT((5*E21^4 + L^4) / (6*L^2))</f>
        <v>268.328185606558</v>
      </c>
      <c r="H21" s="14" t="n">
        <f aca="false">I20</f>
        <v>599.965720038201</v>
      </c>
      <c r="I21" s="14" t="n">
        <f aca="false">POWER((6*L^2*H21^2 - L^4) / 5, 0.25)</f>
        <v>599.97943155285</v>
      </c>
    </row>
    <row r="22" customFormat="false" ht="13.8" hidden="false" customHeight="false" outlineLevel="0" collapsed="false">
      <c r="C22" s="2"/>
      <c r="E22" s="14" t="n">
        <f aca="false">F21</f>
        <v>268.328185606558</v>
      </c>
      <c r="F22" s="14" t="n">
        <f aca="false">SQRT((5*E22^4 + L^4) / (6*L^2))</f>
        <v>268.328166735504</v>
      </c>
      <c r="H22" s="14" t="n">
        <f aca="false">I21</f>
        <v>599.97943155285</v>
      </c>
      <c r="I22" s="14" t="n">
        <f aca="false">POWER((6*L^2*H22^2 - L^4) / 5, 0.25)</f>
        <v>599.987658762481</v>
      </c>
    </row>
    <row r="23" customFormat="false" ht="13.8" hidden="false" customHeight="false" outlineLevel="0" collapsed="false">
      <c r="C23" s="2"/>
      <c r="E23" s="14" t="n">
        <f aca="false">F22</f>
        <v>268.328166735504</v>
      </c>
      <c r="F23" s="15" t="n">
        <f aca="false">SQRT((5*E23^4 + L^4) / (6*L^2))</f>
        <v>268.328160445151</v>
      </c>
      <c r="H23" s="14" t="n">
        <f aca="false">I22</f>
        <v>599.987658762481</v>
      </c>
      <c r="I23" s="16" t="n">
        <f aca="false">POWER((6*L^2*H23^2 - L^4) / 5, 0.25)</f>
        <v>599.992595196565</v>
      </c>
    </row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0.69921875" defaultRowHeight="12.75" zeroHeight="false" outlineLevelRow="0" outlineLevelCol="0"/>
  <cols>
    <col collapsed="false" customWidth="true" hidden="false" outlineLevel="0" max="2" min="1" style="1" width="4.5"/>
    <col collapsed="false" customWidth="false" hidden="false" outlineLevel="0" max="7" min="3" style="1" width="10.7"/>
    <col collapsed="false" customWidth="false" hidden="false" outlineLevel="0" max="9" min="8" style="17" width="10.7"/>
    <col collapsed="false" customWidth="false" hidden="false" outlineLevel="0" max="16382" min="10" style="1" width="10.7"/>
    <col collapsed="false" customWidth="true" hidden="false" outlineLevel="0" max="16384" min="16383" style="1" width="10.16"/>
  </cols>
  <sheetData>
    <row r="2" customFormat="false" ht="12.75" hidden="false" customHeight="true" outlineLevel="0" collapsed="false">
      <c r="B2" s="3" t="s">
        <v>23</v>
      </c>
    </row>
    <row r="4" customFormat="false" ht="12.75" hidden="false" customHeight="true" outlineLevel="0" collapsed="false">
      <c r="B4" s="4" t="s">
        <v>10</v>
      </c>
      <c r="C4" s="4" t="s">
        <v>21</v>
      </c>
      <c r="D4" s="4" t="s">
        <v>24</v>
      </c>
      <c r="E4" s="4" t="s">
        <v>25</v>
      </c>
      <c r="F4" s="4" t="s">
        <v>22</v>
      </c>
      <c r="G4" s="4" t="s">
        <v>26</v>
      </c>
    </row>
    <row r="5" customFormat="false" ht="12.75" hidden="false" customHeight="true" outlineLevel="0" collapsed="false">
      <c r="B5" s="1" t="n">
        <v>0</v>
      </c>
      <c r="C5" s="18" t="n">
        <v>500</v>
      </c>
      <c r="D5" s="19" t="n">
        <f aca="false">(w_0/(120*E*I*L)) * (-5*C5^4 + 6*L^2*C5^2 - L^4)</f>
        <v>0.0022662037037037</v>
      </c>
      <c r="E5" s="19" t="n">
        <f aca="false">(w_0/(120*E*I*L)) * (-20*C5^3 + 12*L^2*C5)</f>
        <v>-7.87037037037037E-006</v>
      </c>
      <c r="F5" s="18" t="n">
        <f aca="false">C5-D5/E5</f>
        <v>787.941176470588</v>
      </c>
      <c r="G5" s="18" t="n">
        <f aca="false">ABS((F5-C5)/F5)*100</f>
        <v>36.5434863755133</v>
      </c>
    </row>
    <row r="6" customFormat="false" ht="12.75" hidden="false" customHeight="true" outlineLevel="0" collapsed="false">
      <c r="B6" s="1" t="n">
        <v>1</v>
      </c>
      <c r="C6" s="18" t="n">
        <f aca="false">F5</f>
        <v>787.941176470588</v>
      </c>
      <c r="D6" s="19" t="n">
        <f aca="false">(w_0/(120*E*I*L)) * (-5*C6^4 + 6*L^2*C6^2 - L^4)</f>
        <v>-0.0165704367072306</v>
      </c>
      <c r="E6" s="19" t="n">
        <f aca="false">(w_0/(120*E*I*L)) * (-20*C6^3 + 12*L^2*C6)</f>
        <v>-0.000147684725791268</v>
      </c>
      <c r="F6" s="18" t="n">
        <f aca="false">C6-D6/E6</f>
        <v>675.739751316773</v>
      </c>
      <c r="G6" s="18" t="n">
        <f aca="false">ABS((F6-C6)/F6)*100</f>
        <v>16.6042363106765</v>
      </c>
    </row>
    <row r="7" customFormat="false" ht="12.75" hidden="false" customHeight="true" outlineLevel="0" collapsed="false">
      <c r="B7" s="1" t="n">
        <v>2</v>
      </c>
      <c r="C7" s="18" t="n">
        <f aca="false">F6</f>
        <v>675.739751316773</v>
      </c>
      <c r="D7" s="19" t="n">
        <f aca="false">(w_0/(120*E*I*L)) * (-5*C7^4 + 6*L^2*C7^2 - L^4)</f>
        <v>-0.00430139018109295</v>
      </c>
      <c r="E7" s="19" t="n">
        <f aca="false">(w_0/(120*E*I*L)) * (-20*C7^3 + 12*L^2*C7)</f>
        <v>-7.5277474465893E-005</v>
      </c>
      <c r="F7" s="18" t="n">
        <f aca="false">C7-D7/E7</f>
        <v>618.599282516351</v>
      </c>
      <c r="G7" s="18" t="n">
        <f aca="false">ABS((F7-C7)/F7)*100</f>
        <v>9.23707324198392</v>
      </c>
    </row>
    <row r="8" customFormat="false" ht="12.75" hidden="false" customHeight="true" outlineLevel="0" collapsed="false">
      <c r="B8" s="1" t="n">
        <v>3</v>
      </c>
      <c r="C8" s="18" t="n">
        <f aca="false">F7</f>
        <v>618.599282516351</v>
      </c>
      <c r="D8" s="19" t="n">
        <f aca="false">(w_0/(120*E*I*L)) * (-5*C8^4 + 6*L^2*C8^2 - L^4)</f>
        <v>-0.000814959066513762</v>
      </c>
      <c r="E8" s="19" t="n">
        <f aca="false">(w_0/(120*E*I*L)) * (-20*C8^3 + 12*L^2*C8)</f>
        <v>-4.77309695202387E-005</v>
      </c>
      <c r="F8" s="18" t="n">
        <f aca="false">C8-D8/E8</f>
        <v>601.525272189194</v>
      </c>
      <c r="G8" s="18" t="n">
        <f aca="false">ABS((F8-C8)/F8)*100</f>
        <v>2.83845269958775</v>
      </c>
    </row>
    <row r="9" customFormat="false" ht="12.75" hidden="false" customHeight="true" outlineLevel="0" collapsed="false">
      <c r="B9" s="1" t="n">
        <v>4</v>
      </c>
      <c r="C9" s="18" t="n">
        <f aca="false">F8</f>
        <v>601.525272189194</v>
      </c>
      <c r="D9" s="19" t="n">
        <f aca="false">(w_0/(120*E*I*L)) * (-5*C9^4 + 6*L^2*C9^2 - L^4)</f>
        <v>-6.1477164932624E-005</v>
      </c>
      <c r="E9" s="19" t="n">
        <f aca="false">(w_0/(120*E*I*L)) * (-20*C9^3 + 12*L^2*C9)</f>
        <v>-4.06120492312007E-005</v>
      </c>
      <c r="F9" s="18" t="n">
        <f aca="false">C9-D9/E9</f>
        <v>600.011505558443</v>
      </c>
      <c r="G9" s="18" t="n">
        <f aca="false">ABS((F9-C9)/F9)*100</f>
        <v>0.252289600570666</v>
      </c>
    </row>
    <row r="10" customFormat="false" ht="12.75" hidden="false" customHeight="true" outlineLevel="0" collapsed="false">
      <c r="B10" s="1" t="n">
        <v>5</v>
      </c>
      <c r="C10" s="18" t="n">
        <f aca="false">F9</f>
        <v>600.011505558443</v>
      </c>
      <c r="D10" s="19" t="n">
        <f aca="false">(w_0/(120*E*I*L)) * (-5*C10^4 + 6*L^2*C10^2 - L^4)</f>
        <v>-4.60248813713921E-007</v>
      </c>
      <c r="E10" s="19" t="n">
        <f aca="false">(w_0/(120*E*I*L)) * (-20*C10^3 + 12*L^2*C10)</f>
        <v>-4.00046023336928E-005</v>
      </c>
      <c r="F10" s="18" t="n">
        <f aca="false">C10-D10/E10</f>
        <v>600.000000661834</v>
      </c>
      <c r="G10" s="18" t="n">
        <f aca="false">ABS((F10-C10)/F10)*100</f>
        <v>0.00191748276596348</v>
      </c>
    </row>
    <row r="11" customFormat="false" ht="12.75" hidden="false" customHeight="true" outlineLevel="0" collapsed="false">
      <c r="B11" s="1" t="n">
        <v>6</v>
      </c>
      <c r="C11" s="18" t="n">
        <f aca="false">F10</f>
        <v>600.000000661834</v>
      </c>
      <c r="D11" s="19" t="n">
        <f aca="false">(w_0/(120*E*I*L)) * (-5*C11^4 + 6*L^2*C11^2 - L^4)</f>
        <v>-2.64733773690683E-011</v>
      </c>
      <c r="E11" s="19" t="n">
        <f aca="false">(w_0/(120*E*I*L)) * (-20*C11^3 + 12*L^2*C11)</f>
        <v>-4.00000002647338E-005</v>
      </c>
      <c r="F11" s="20" t="n">
        <f aca="false">C11-D11/E11</f>
        <v>600</v>
      </c>
      <c r="G11" s="18" t="n">
        <f aca="false">ABS((F11-C11)/F11)*100</f>
        <v>1.10305734324356E-007</v>
      </c>
    </row>
    <row r="12" customFormat="false" ht="12.75" hidden="false" customHeight="false" outlineLevel="0" collapsed="false">
      <c r="C12" s="18"/>
      <c r="D12" s="19"/>
      <c r="E12" s="19"/>
      <c r="F12" s="18"/>
      <c r="G12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0.69921875" defaultRowHeight="12.8" zeroHeight="false" outlineLevelRow="0" outlineLevelCol="0"/>
  <cols>
    <col collapsed="false" customWidth="true" hidden="false" outlineLevel="0" max="2" min="1" style="1" width="4.5"/>
    <col collapsed="false" customWidth="false" hidden="false" outlineLevel="0" max="7" min="3" style="1" width="10.7"/>
    <col collapsed="false" customWidth="false" hidden="false" outlineLevel="0" max="16382" min="8" style="17" width="10.7"/>
    <col collapsed="false" customWidth="true" hidden="false" outlineLevel="0" max="16384" min="16383" style="17" width="10.16"/>
  </cols>
  <sheetData>
    <row r="1" customFormat="false" ht="12.8" hidden="false" customHeight="false" outlineLevel="0" collapsed="false">
      <c r="C1" s="18"/>
      <c r="D1" s="18"/>
      <c r="E1" s="18"/>
      <c r="F1" s="18"/>
    </row>
    <row r="2" customFormat="false" ht="12.8" hidden="false" customHeight="false" outlineLevel="0" collapsed="false">
      <c r="B2" s="3" t="s">
        <v>27</v>
      </c>
      <c r="C2" s="18"/>
      <c r="D2" s="18"/>
      <c r="E2" s="18"/>
      <c r="F2" s="18"/>
    </row>
    <row r="3" customFormat="false" ht="12.8" hidden="false" customHeight="false" outlineLevel="0" collapsed="false">
      <c r="C3" s="18"/>
      <c r="D3" s="18"/>
      <c r="E3" s="18"/>
    </row>
    <row r="4" customFormat="false" ht="12.8" hidden="false" customHeight="false" outlineLevel="0" collapsed="false">
      <c r="B4" s="4" t="s">
        <v>10</v>
      </c>
      <c r="C4" s="4" t="s">
        <v>28</v>
      </c>
      <c r="D4" s="4" t="s">
        <v>21</v>
      </c>
      <c r="E4" s="4" t="s">
        <v>29</v>
      </c>
      <c r="F4" s="4" t="s">
        <v>24</v>
      </c>
      <c r="G4" s="4" t="s">
        <v>28</v>
      </c>
      <c r="H4" s="4" t="s">
        <v>26</v>
      </c>
    </row>
    <row r="5" customFormat="false" ht="12.8" hidden="false" customHeight="false" outlineLevel="0" collapsed="false">
      <c r="B5" s="1" t="n">
        <v>0</v>
      </c>
      <c r="C5" s="18" t="n">
        <v>500</v>
      </c>
      <c r="D5" s="18" t="n">
        <v>750</v>
      </c>
      <c r="E5" s="21" t="n">
        <f aca="false">(w_0/(120*E*I*L)) * (-5*C5^4 + 6*L^2*C5^2 - L^4)</f>
        <v>0.0022662037037037</v>
      </c>
      <c r="F5" s="21" t="n">
        <f aca="false">(w_0/(120*E*I*L)) * (-5*D5^4 + 6*L^2*D5^2 - L^4)</f>
        <v>-0.01149609375</v>
      </c>
      <c r="G5" s="18" t="n">
        <f aca="false">D5-F5*((D5-C5)/(F5-E5))</f>
        <v>541.166885676741</v>
      </c>
      <c r="H5" s="18" t="n">
        <f aca="false">ABS((G5-D5)/G5)*100</f>
        <v>38.5894111133774</v>
      </c>
    </row>
    <row r="6" customFormat="false" ht="12.8" hidden="false" customHeight="false" outlineLevel="0" collapsed="false">
      <c r="B6" s="1" t="n">
        <v>1</v>
      </c>
      <c r="C6" s="18" t="n">
        <f aca="false">D5</f>
        <v>750</v>
      </c>
      <c r="D6" s="18" t="n">
        <f aca="false">G5</f>
        <v>541.166885676741</v>
      </c>
      <c r="E6" s="21" t="n">
        <f aca="false">(w_0/(120*E*I*L)) * (-5*C6^4 + 6*L^2*C6^2 - L^4)</f>
        <v>-0.01149609375</v>
      </c>
      <c r="F6" s="21" t="n">
        <f aca="false">(w_0/(120*E*I*L)) * (-5*D6^4 + 6*L^2*D6^2 - L^4)</f>
        <v>0.00171623781589781</v>
      </c>
      <c r="G6" s="18" t="n">
        <f aca="false">D6-F6*((D6-C6)/(F6-E6))</f>
        <v>568.29361090504</v>
      </c>
      <c r="H6" s="18" t="n">
        <f aca="false">ABS((G6-D6)/G6)*100</f>
        <v>4.77336445593641</v>
      </c>
    </row>
    <row r="7" customFormat="false" ht="12.8" hidden="false" customHeight="false" outlineLevel="0" collapsed="false">
      <c r="B7" s="1" t="n">
        <v>2</v>
      </c>
      <c r="C7" s="18" t="n">
        <f aca="false">D6</f>
        <v>541.166885676741</v>
      </c>
      <c r="D7" s="18" t="n">
        <f aca="false">G6</f>
        <v>568.29361090504</v>
      </c>
      <c r="E7" s="21" t="n">
        <f aca="false">(w_0/(120*E*I*L)) * (-5*C7^4 + 6*L^2*C7^2 - L^4)</f>
        <v>0.00171623781589781</v>
      </c>
      <c r="F7" s="21" t="n">
        <f aca="false">(w_0/(120*E*I*L)) * (-5*D7^4 + 6*L^2*D7^2 - L^4)</f>
        <v>0.00107593353828653</v>
      </c>
      <c r="G7" s="18" t="n">
        <f aca="false">D7-F7*((D7-C7)/(F7-E7))</f>
        <v>613.875929308242</v>
      </c>
      <c r="H7" s="18" t="n">
        <f aca="false">ABS((G7-D7)/G7)*100</f>
        <v>7.42533079193501</v>
      </c>
    </row>
    <row r="8" customFormat="false" ht="12.8" hidden="false" customHeight="false" outlineLevel="0" collapsed="false">
      <c r="B8" s="1" t="n">
        <v>3</v>
      </c>
      <c r="C8" s="18" t="n">
        <f aca="false">D7</f>
        <v>568.29361090504</v>
      </c>
      <c r="D8" s="18" t="n">
        <f aca="false">G7</f>
        <v>613.875929308242</v>
      </c>
      <c r="E8" s="21" t="n">
        <f aca="false">(w_0/(120*E*I*L)) * (-5*C8^4 + 6*L^2*C8^2 - L^4)</f>
        <v>0.00107593353828653</v>
      </c>
      <c r="F8" s="21" t="n">
        <f aca="false">(w_0/(120*E*I*L)) * (-5*D8^4 + 6*L^2*D8^2 - L^4)</f>
        <v>-0.000594291882329887</v>
      </c>
      <c r="G8" s="18" t="n">
        <f aca="false">D8-F8*((D8-C8)/(F8-E8))</f>
        <v>597.657039647946</v>
      </c>
      <c r="H8" s="18" t="n">
        <f aca="false">ABS((G8-D8)/G8)*100</f>
        <v>2.7137452726818</v>
      </c>
    </row>
    <row r="9" customFormat="false" ht="12.8" hidden="false" customHeight="false" outlineLevel="0" collapsed="false">
      <c r="B9" s="1" t="n">
        <v>4</v>
      </c>
      <c r="C9" s="18" t="n">
        <f aca="false">D8</f>
        <v>613.875929308242</v>
      </c>
      <c r="D9" s="18" t="n">
        <f aca="false">G8</f>
        <v>597.657039647946</v>
      </c>
      <c r="E9" s="21" t="n">
        <f aca="false">(w_0/(120*E*I*L)) * (-5*C9^4 + 6*L^2*C9^2 - L^4)</f>
        <v>-0.000594291882329887</v>
      </c>
      <c r="F9" s="21" t="n">
        <f aca="false">(w_0/(120*E*I*L)) * (-5*D9^4 + 6*L^2*D9^2 - L^4)</f>
        <v>9.26240906173367E-005</v>
      </c>
      <c r="G9" s="18" t="n">
        <f aca="false">D9-F9*((D9-C9)/(F9-E9))</f>
        <v>599.84400277702</v>
      </c>
      <c r="H9" s="18" t="n">
        <f aca="false">ABS((G9-D9)/G9)*100</f>
        <v>0.364588646206306</v>
      </c>
    </row>
    <row r="10" customFormat="false" ht="12.8" hidden="false" customHeight="false" outlineLevel="0" collapsed="false">
      <c r="B10" s="1" t="n">
        <v>5</v>
      </c>
      <c r="C10" s="18" t="n">
        <f aca="false">D9</f>
        <v>597.657039647946</v>
      </c>
      <c r="D10" s="18" t="n">
        <f aca="false">G9</f>
        <v>599.84400277702</v>
      </c>
      <c r="E10" s="21" t="n">
        <f aca="false">(w_0/(120*E*I*L)) * (-5*C10^4 + 6*L^2*C10^2 - L^4)</f>
        <v>9.26240906173367E-005</v>
      </c>
      <c r="F10" s="21" t="n">
        <f aca="false">(w_0/(120*E*I*L)) * (-5*D10^4 + 6*L^2*D10^2 - L^4)</f>
        <v>6.23502294691015E-006</v>
      </c>
      <c r="G10" s="18" t="n">
        <f aca="false">D10-F10*((D10-C10)/(F10-E10))</f>
        <v>600.001844106502</v>
      </c>
      <c r="H10" s="18" t="n">
        <f aca="false">ABS((G10-D10)/G10)*100</f>
        <v>0.0263068073927679</v>
      </c>
    </row>
    <row r="11" customFormat="false" ht="12.8" hidden="false" customHeight="false" outlineLevel="0" collapsed="false">
      <c r="B11" s="1" t="n">
        <v>6</v>
      </c>
      <c r="C11" s="18" t="n">
        <f aca="false">D10</f>
        <v>599.84400277702</v>
      </c>
      <c r="D11" s="18" t="n">
        <f aca="false">G10</f>
        <v>600.001844106502</v>
      </c>
      <c r="E11" s="21" t="n">
        <f aca="false">(w_0/(120*E*I*L)) * (-5*C11^4 + 6*L^2*C11^2 - L^4)</f>
        <v>6.23502294691015E-006</v>
      </c>
      <c r="F11" s="21" t="n">
        <f aca="false">(w_0/(120*E*I*L)) * (-5*D11^4 + 6*L^2*D11^2 - L^4)</f>
        <v>-7.37649402448866E-008</v>
      </c>
      <c r="G11" s="22" t="n">
        <f aca="false">D11-F11*((D11-C11)/(F11-E11))</f>
        <v>599.999998560821</v>
      </c>
      <c r="H11" s="18" t="n">
        <f aca="false">ABS((G11-D11)/G11)*100</f>
        <v>0.000307590947574727</v>
      </c>
    </row>
    <row r="12" customFormat="false" ht="12.8" hidden="false" customHeight="false" outlineLevel="0" collapsed="false">
      <c r="B12" s="1" t="n">
        <v>7</v>
      </c>
      <c r="C12" s="18" t="n">
        <f aca="false">D11</f>
        <v>600.001844106502</v>
      </c>
      <c r="D12" s="18" t="n">
        <f aca="false">G11</f>
        <v>599.999998560821</v>
      </c>
      <c r="E12" s="21" t="n">
        <f aca="false">(w_0/(120*E*I*L)) * (-5*C12^4 + 6*L^2*C12^2 - L^4)</f>
        <v>-7.37649402448866E-008</v>
      </c>
      <c r="F12" s="21" t="n">
        <f aca="false">(w_0/(120*E*I*L)) * (-5*D12^4 + 6*L^2*D12^2 - L^4)</f>
        <v>5.75671443232784E-011</v>
      </c>
      <c r="G12" s="20" t="n">
        <f aca="false">D12-F12*((D12-C12)/(F12-E12))</f>
        <v>599.999999999987</v>
      </c>
      <c r="H12" s="18" t="n">
        <f aca="false">ABS((G12-D12)/G12)*100</f>
        <v>2.39860886116129E-007</v>
      </c>
    </row>
    <row r="13" customFormat="false" ht="12.8" hidden="false" customHeight="false" outlineLevel="0" collapsed="false">
      <c r="C13" s="18"/>
      <c r="D13" s="18"/>
      <c r="E13" s="21"/>
      <c r="F13" s="21"/>
      <c r="G13" s="22"/>
      <c r="H13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0.69921875" defaultRowHeight="12.8" zeroHeight="false" outlineLevelRow="0" outlineLevelCol="0"/>
  <cols>
    <col collapsed="false" customWidth="true" hidden="false" outlineLevel="0" max="1" min="1" style="1" width="4.5"/>
    <col collapsed="false" customWidth="false" hidden="false" outlineLevel="0" max="6" min="2" style="1" width="10.7"/>
    <col collapsed="false" customWidth="true" hidden="false" outlineLevel="0" max="7" min="7" style="1" width="7.66"/>
    <col collapsed="false" customWidth="false" hidden="false" outlineLevel="0" max="9" min="8" style="1" width="10.7"/>
    <col collapsed="false" customWidth="false" hidden="false" outlineLevel="0" max="22" min="10" style="17" width="10.7"/>
    <col collapsed="false" customWidth="false" hidden="false" outlineLevel="0" max="16374" min="23" style="1" width="10.7"/>
    <col collapsed="false" customWidth="true" hidden="false" outlineLevel="0" max="16384" min="16375" style="1" width="10.16"/>
  </cols>
  <sheetData>
    <row r="2" customFormat="false" ht="12.8" hidden="false" customHeight="false" outlineLevel="0" collapsed="false">
      <c r="B2" s="3" t="s">
        <v>30</v>
      </c>
    </row>
    <row r="4" customFormat="false" ht="12.8" hidden="false" customHeight="false" outlineLevel="0" collapsed="false">
      <c r="B4" s="4" t="s">
        <v>6</v>
      </c>
      <c r="C4" s="4" t="s">
        <v>31</v>
      </c>
      <c r="D4" s="4" t="s">
        <v>11</v>
      </c>
      <c r="E4" s="4" t="s">
        <v>12</v>
      </c>
      <c r="F4" s="4" t="s">
        <v>15</v>
      </c>
      <c r="G4" s="4"/>
      <c r="H4" s="4"/>
      <c r="I4" s="4"/>
    </row>
    <row r="5" customFormat="false" ht="12.8" hidden="false" customHeight="false" outlineLevel="0" collapsed="false">
      <c r="B5" s="23" t="n">
        <v>400</v>
      </c>
      <c r="C5" s="23" t="n">
        <f aca="false">(w_0/(120*E*I*L)) * (-B5^5 + 2*L^2*B5^3 - L^4*B5)</f>
        <v>-0.37037037037037</v>
      </c>
      <c r="D5" s="24" t="n">
        <f aca="false">B5^2</f>
        <v>160000</v>
      </c>
      <c r="E5" s="23" t="n">
        <f aca="false">B5</f>
        <v>400</v>
      </c>
      <c r="F5" s="24" t="n">
        <v>1</v>
      </c>
      <c r="G5" s="25" t="s">
        <v>32</v>
      </c>
      <c r="H5" s="24" t="n">
        <f aca="false" t="array" ref="H5:H7">MMULT(MINVERSE(D5:F7),C5:C7)</f>
        <v>-1.24450231481481E-005</v>
      </c>
      <c r="I5" s="18"/>
    </row>
    <row r="6" customFormat="false" ht="12.8" hidden="false" customHeight="false" outlineLevel="0" collapsed="false">
      <c r="B6" s="23" t="n">
        <v>550</v>
      </c>
      <c r="C6" s="23" t="n">
        <f aca="false">(w_0/(120*E*I*L)) * (-B6^5 + 2*L^2*B6^3 - L^4*B6)</f>
        <v>-0.0420934606481481</v>
      </c>
      <c r="D6" s="24" t="n">
        <f aca="false">B6^2</f>
        <v>302500</v>
      </c>
      <c r="E6" s="23" t="n">
        <f aca="false">B6</f>
        <v>550</v>
      </c>
      <c r="F6" s="24" t="n">
        <v>1</v>
      </c>
      <c r="G6" s="25" t="s">
        <v>33</v>
      </c>
      <c r="H6" s="24" t="n">
        <v>0.0140112847222222</v>
      </c>
      <c r="I6" s="18"/>
    </row>
    <row r="7" customFormat="false" ht="12.8" hidden="false" customHeight="false" outlineLevel="0" collapsed="false">
      <c r="B7" s="23" t="n">
        <v>700</v>
      </c>
      <c r="C7" s="23" t="n">
        <f aca="false">(w_0/(120*E*I*L)) * (-B7^5 + 2*L^2*B7^3 - L^4*B7)</f>
        <v>-0.273842592592593</v>
      </c>
      <c r="D7" s="24" t="n">
        <f aca="false">B7^2</f>
        <v>490000</v>
      </c>
      <c r="E7" s="23" t="n">
        <f aca="false">B7</f>
        <v>700</v>
      </c>
      <c r="F7" s="24" t="n">
        <v>1</v>
      </c>
      <c r="G7" s="25" t="s">
        <v>34</v>
      </c>
      <c r="H7" s="24" t="n">
        <v>-3.98368055555555</v>
      </c>
      <c r="I7" s="18"/>
    </row>
    <row r="8" customFormat="false" ht="12.8" hidden="false" customHeight="false" outlineLevel="0" collapsed="false">
      <c r="B8" s="23" t="n">
        <f aca="false">-$H$6/(2*$H$5)</f>
        <v>562.927226226459</v>
      </c>
      <c r="C8" s="23" t="n">
        <f aca="false">(w_0/(120*E*I*L)) * (-B8^5 + 2*L^2*B8^3 - L^4*B8)</f>
        <v>-0.0242205357724566</v>
      </c>
      <c r="D8" s="26"/>
      <c r="E8" s="26"/>
      <c r="F8" s="26"/>
      <c r="G8" s="26"/>
      <c r="H8" s="26"/>
      <c r="I8" s="18"/>
    </row>
    <row r="9" customFormat="false" ht="12.8" hidden="false" customHeight="false" outlineLevel="0" collapsed="false">
      <c r="B9" s="27" t="n">
        <f aca="false">B6-0.5*(((B6-B5)^2*(C6-C7)-(B6-B7)^2*(C6-C5)) / ((B6-B5)*(C6-C7)-(B6-B7)*(C6-C5)))</f>
        <v>562.927226226459</v>
      </c>
      <c r="C9" s="26"/>
      <c r="D9" s="18"/>
      <c r="E9" s="18"/>
      <c r="F9" s="18"/>
      <c r="G9" s="18"/>
      <c r="H9" s="18"/>
      <c r="I9" s="18"/>
    </row>
    <row r="10" customFormat="false" ht="12.8" hidden="false" customHeight="false" outlineLevel="0" collapsed="false">
      <c r="B10" s="26"/>
      <c r="C10" s="26"/>
      <c r="D10" s="18"/>
      <c r="E10" s="18"/>
      <c r="F10" s="18"/>
      <c r="G10" s="18"/>
      <c r="H10" s="18"/>
      <c r="I10" s="18"/>
    </row>
    <row r="11" customFormat="false" ht="12.8" hidden="false" customHeight="false" outlineLevel="0" collapsed="false">
      <c r="B11" s="4" t="s">
        <v>6</v>
      </c>
      <c r="C11" s="4" t="s">
        <v>31</v>
      </c>
      <c r="D11" s="4" t="s">
        <v>11</v>
      </c>
      <c r="E11" s="4" t="s">
        <v>12</v>
      </c>
      <c r="F11" s="4" t="s">
        <v>15</v>
      </c>
      <c r="G11" s="18"/>
      <c r="H11" s="18"/>
      <c r="I11" s="18"/>
    </row>
    <row r="12" customFormat="false" ht="12.8" hidden="false" customHeight="false" outlineLevel="0" collapsed="false">
      <c r="B12" s="23" t="n">
        <f aca="false">$B$8</f>
        <v>562.927226226459</v>
      </c>
      <c r="C12" s="23" t="n">
        <f aca="false">(w_0/(120*E*I*L)) * (-B12^5 + 2*L^2*B12^3 - L^4*B12)</f>
        <v>-0.0242205357724566</v>
      </c>
      <c r="D12" s="24" t="n">
        <f aca="false">B12^2</f>
        <v>316887.062027015</v>
      </c>
      <c r="E12" s="24" t="n">
        <f aca="false">B12</f>
        <v>562.927226226459</v>
      </c>
      <c r="F12" s="24" t="n">
        <f aca="false">1</f>
        <v>1</v>
      </c>
      <c r="G12" s="25" t="s">
        <v>32</v>
      </c>
      <c r="H12" s="24" t="n">
        <f aca="false" t="array" ref="H12:H14">MMULT(MINVERSE(D12:F14),C12:C14)</f>
        <v>-2.13578099163496E-005</v>
      </c>
      <c r="I12" s="18"/>
    </row>
    <row r="13" customFormat="false" ht="12.8" hidden="false" customHeight="false" outlineLevel="0" collapsed="false">
      <c r="B13" s="23" t="n">
        <v>550</v>
      </c>
      <c r="C13" s="23" t="n">
        <f aca="false">(w_0/(120*E*I*L)) * (-B13^5 + 2*L^2*B13^3 - L^4*B13)</f>
        <v>-0.0420934606481481</v>
      </c>
      <c r="D13" s="24" t="n">
        <f aca="false">B13^2</f>
        <v>302500</v>
      </c>
      <c r="E13" s="24" t="n">
        <f aca="false">B13</f>
        <v>550</v>
      </c>
      <c r="F13" s="24" t="n">
        <f aca="false">1</f>
        <v>1</v>
      </c>
      <c r="G13" s="25" t="s">
        <v>33</v>
      </c>
      <c r="H13" s="24" t="n">
        <v>0.025152268182474</v>
      </c>
    </row>
    <row r="14" customFormat="false" ht="12.8" hidden="false" customHeight="false" outlineLevel="0" collapsed="false">
      <c r="B14" s="23" t="n">
        <v>700</v>
      </c>
      <c r="C14" s="23" t="n">
        <f aca="false">(w_0/(120*E*I*L)) * (-B14^5 + 2*L^2*B14^3 - L^4*B14)</f>
        <v>-0.273842592592593</v>
      </c>
      <c r="D14" s="24" t="n">
        <f aca="false">B14^2</f>
        <v>490000</v>
      </c>
      <c r="E14" s="24" t="n">
        <f aca="false">B14</f>
        <v>700</v>
      </c>
      <c r="F14" s="24" t="n">
        <f aca="false">1</f>
        <v>1</v>
      </c>
      <c r="G14" s="25" t="s">
        <v>34</v>
      </c>
      <c r="H14" s="24" t="n">
        <v>-7.41510346131311</v>
      </c>
      <c r="I14" s="18"/>
    </row>
    <row r="15" customFormat="false" ht="12.8" hidden="false" customHeight="false" outlineLevel="0" collapsed="false">
      <c r="B15" s="23" t="n">
        <f aca="false">-H13/(2*H12)</f>
        <v>588.830696616036</v>
      </c>
      <c r="C15" s="23" t="n">
        <f aca="false">(w_0/(120*E*I*L)) * (-B15^5 + 2*L^2*B15^3 - L^4*B15)</f>
        <v>-0.00240324967036205</v>
      </c>
      <c r="D15" s="28"/>
      <c r="E15" s="28"/>
      <c r="F15" s="28"/>
      <c r="G15" s="28"/>
      <c r="H15" s="28"/>
      <c r="I15" s="4"/>
    </row>
    <row r="16" customFormat="false" ht="12.8" hidden="false" customHeight="false" outlineLevel="0" collapsed="false">
      <c r="C16" s="18"/>
      <c r="D16" s="18"/>
      <c r="E16" s="18"/>
      <c r="F16" s="18"/>
      <c r="G16" s="18"/>
      <c r="H16" s="18"/>
      <c r="I16" s="18"/>
    </row>
    <row r="17" customFormat="false" ht="12.8" hidden="false" customHeight="false" outlineLevel="0" collapsed="false">
      <c r="C17" s="18"/>
      <c r="D17" s="18"/>
      <c r="E17" s="18"/>
      <c r="F17" s="18"/>
      <c r="G17" s="18"/>
      <c r="H17" s="18"/>
      <c r="I17" s="18"/>
    </row>
    <row r="18" customFormat="false" ht="12.8" hidden="false" customHeight="false" outlineLevel="0" collapsed="false">
      <c r="B18" s="4" t="s">
        <v>6</v>
      </c>
      <c r="C18" s="4" t="s">
        <v>31</v>
      </c>
      <c r="D18" s="4" t="s">
        <v>11</v>
      </c>
      <c r="E18" s="4" t="s">
        <v>12</v>
      </c>
      <c r="F18" s="4" t="s">
        <v>15</v>
      </c>
      <c r="G18" s="18"/>
      <c r="H18" s="18"/>
      <c r="I18" s="18"/>
    </row>
    <row r="19" customFormat="false" ht="12.8" hidden="false" customHeight="false" outlineLevel="0" collapsed="false">
      <c r="B19" s="23" t="n">
        <f aca="false">$B$15</f>
        <v>588.830696616036</v>
      </c>
      <c r="C19" s="23" t="n">
        <f aca="false">(w_0/(120*E*I*L)) * (-B19^5 + 2*L^2*B19^3 - L^4*B19)</f>
        <v>-0.00240324967036205</v>
      </c>
      <c r="D19" s="24" t="n">
        <f aca="false">B19^2</f>
        <v>346721.589277326</v>
      </c>
      <c r="E19" s="23" t="n">
        <f aca="false">B19</f>
        <v>588.830696616036</v>
      </c>
      <c r="F19" s="24" t="n">
        <f aca="false">1</f>
        <v>1</v>
      </c>
      <c r="G19" s="25" t="s">
        <v>32</v>
      </c>
      <c r="H19" s="24" t="n">
        <f aca="false" t="array" ref="H19:H21">MMULT(MINVERSE(D19:F21),C19:C21)</f>
        <v>-1.39149352814099E-005</v>
      </c>
      <c r="I19" s="18"/>
    </row>
    <row r="20" customFormat="false" ht="12.8" hidden="false" customHeight="false" outlineLevel="0" collapsed="false">
      <c r="B20" s="23" t="n">
        <f aca="false">$B$8</f>
        <v>562.927226226459</v>
      </c>
      <c r="C20" s="23" t="n">
        <f aca="false">(w_0/(120*E*I*L)) * (-B20^5 + 2*L^2*B20^3 - L^4*B20)</f>
        <v>-0.0242205357724566</v>
      </c>
      <c r="D20" s="24" t="n">
        <f aca="false">B20^2</f>
        <v>316887.062027015</v>
      </c>
      <c r="E20" s="23" t="n">
        <f aca="false">B20</f>
        <v>562.927226226459</v>
      </c>
      <c r="F20" s="24" t="n">
        <f aca="false">1</f>
        <v>1</v>
      </c>
      <c r="G20" s="25" t="s">
        <v>33</v>
      </c>
      <c r="H20" s="24" t="n">
        <v>0.0168688903598593</v>
      </c>
      <c r="I20" s="18"/>
    </row>
    <row r="21" customFormat="false" ht="12.8" hidden="false" customHeight="false" outlineLevel="0" collapsed="false">
      <c r="B21" s="23" t="n">
        <v>550</v>
      </c>
      <c r="C21" s="23" t="n">
        <f aca="false">(w_0/(120*E*I*L)) * (-B21^5 + 2*L^2*B21^3 - L^4*B21)</f>
        <v>-0.0420934606481481</v>
      </c>
      <c r="D21" s="24" t="n">
        <f aca="false">B21^2</f>
        <v>302500</v>
      </c>
      <c r="E21" s="23" t="n">
        <f aca="false">B21</f>
        <v>550</v>
      </c>
      <c r="F21" s="24" t="n">
        <f aca="false">1</f>
        <v>1</v>
      </c>
      <c r="G21" s="25" t="s">
        <v>34</v>
      </c>
      <c r="H21" s="24" t="n">
        <v>-5.11071523594425</v>
      </c>
      <c r="I21" s="18"/>
    </row>
    <row r="22" customFormat="false" ht="12.8" hidden="false" customHeight="false" outlineLevel="0" collapsed="false">
      <c r="B22" s="23" t="n">
        <f aca="false">-H20/(2*H19)</f>
        <v>606.143327967749</v>
      </c>
      <c r="C22" s="23" t="n">
        <f aca="false">(w_0/(120*E*I*L)) * (-B22^5 + 2*L^2*B22^3 - L^4*B22)</f>
        <v>-0.000770365494842665</v>
      </c>
      <c r="D22" s="18"/>
      <c r="E22" s="18"/>
      <c r="F22" s="18"/>
      <c r="G22" s="18"/>
      <c r="H22" s="18"/>
      <c r="I22" s="18"/>
    </row>
    <row r="23" customFormat="false" ht="12.8" hidden="false" customHeight="false" outlineLevel="0" collapsed="false">
      <c r="C23" s="18"/>
      <c r="D23" s="18"/>
      <c r="E23" s="18"/>
      <c r="F23" s="18"/>
      <c r="G23" s="18"/>
      <c r="H23" s="18"/>
      <c r="I23" s="18"/>
    </row>
    <row r="24" customFormat="false" ht="12.8" hidden="false" customHeight="false" outlineLevel="0" collapsed="false">
      <c r="C24" s="18"/>
      <c r="D24" s="18"/>
      <c r="E24" s="18"/>
      <c r="F24" s="18"/>
      <c r="G24" s="18"/>
      <c r="H24" s="18"/>
      <c r="I24" s="18"/>
    </row>
    <row r="25" customFormat="false" ht="12.8" hidden="false" customHeight="false" outlineLevel="0" collapsed="false">
      <c r="B25" s="4" t="s">
        <v>6</v>
      </c>
      <c r="C25" s="4" t="s">
        <v>31</v>
      </c>
      <c r="D25" s="4" t="s">
        <v>11</v>
      </c>
      <c r="E25" s="4" t="s">
        <v>12</v>
      </c>
      <c r="F25" s="4" t="s">
        <v>15</v>
      </c>
      <c r="G25" s="18"/>
      <c r="H25" s="18"/>
      <c r="I25" s="18"/>
    </row>
    <row r="26" customFormat="false" ht="12.8" hidden="false" customHeight="false" outlineLevel="0" collapsed="false">
      <c r="B26" s="23" t="n">
        <f aca="false">$B$22</f>
        <v>606.143327967749</v>
      </c>
      <c r="C26" s="23" t="n">
        <f aca="false">(w_0/(120*E*I*L)) * (-B26^5 + 2*L^2*B26^3 - L^4*B26)</f>
        <v>-0.000770365494842665</v>
      </c>
      <c r="D26" s="24" t="n">
        <f aca="false">B26^2</f>
        <v>367409.734039818</v>
      </c>
      <c r="E26" s="23" t="n">
        <f aca="false">B26</f>
        <v>606.143327967749</v>
      </c>
      <c r="F26" s="24" t="n">
        <f aca="false">1</f>
        <v>1</v>
      </c>
      <c r="G26" s="25" t="s">
        <v>32</v>
      </c>
      <c r="H26" s="24" t="n">
        <f aca="false" t="array" ref="H26:H28">MMULT(MINVERSE(D26:F28), C26:C28)</f>
        <v>-1.73068802967097E-005</v>
      </c>
    </row>
    <row r="27" customFormat="false" ht="12.8" hidden="false" customHeight="false" outlineLevel="0" collapsed="false">
      <c r="B27" s="23" t="n">
        <f aca="false">$B$15</f>
        <v>588.830696616036</v>
      </c>
      <c r="C27" s="23" t="n">
        <f aca="false">(w_0/(120*E*I*L)) * (-B27^5 + 2*L^2*B27^3 - L^4*B27)</f>
        <v>-0.00240324967036205</v>
      </c>
      <c r="D27" s="24" t="n">
        <f aca="false">B27^2</f>
        <v>346721.589277326</v>
      </c>
      <c r="E27" s="23" t="n">
        <f aca="false">B27</f>
        <v>588.830696616036</v>
      </c>
      <c r="F27" s="24" t="n">
        <f aca="false">1</f>
        <v>1</v>
      </c>
      <c r="G27" s="25" t="s">
        <v>33</v>
      </c>
      <c r="H27" s="24" t="n">
        <v>0.020775589905077</v>
      </c>
    </row>
    <row r="28" customFormat="false" ht="12.8" hidden="false" customHeight="false" outlineLevel="0" collapsed="false">
      <c r="B28" s="23" t="n">
        <f aca="false">$B$8</f>
        <v>562.927226226459</v>
      </c>
      <c r="C28" s="23" t="n">
        <f aca="false">(w_0/(120*E*I*L)) * (-B28^5 + 2*L^2*B28^3 - L^4*B28)</f>
        <v>-0.0242205357724566</v>
      </c>
      <c r="D28" s="24" t="n">
        <f aca="false">B28^2</f>
        <v>316887.062027015</v>
      </c>
      <c r="E28" s="23" t="n">
        <f aca="false">B28</f>
        <v>562.927226226459</v>
      </c>
      <c r="F28" s="24" t="n">
        <f aca="false">1</f>
        <v>1</v>
      </c>
      <c r="G28" s="25" t="s">
        <v>34</v>
      </c>
      <c r="H28" s="24" t="n">
        <v>-6.23503928417831</v>
      </c>
    </row>
    <row r="29" customFormat="false" ht="12.8" hidden="false" customHeight="false" outlineLevel="0" collapsed="false">
      <c r="B29" s="29" t="n">
        <f aca="false">-H27/(2*H26)</f>
        <v>600.211868022995</v>
      </c>
      <c r="C29" s="2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2026-01-19T20:04:58Z</dcterms:created>
  <dc:creator/>
  <dc:description/>
  <dc:language>es-MX</dc:language>
  <cp:lastModifiedBy/>
  <dcterms:modified xsi:type="dcterms:W3CDTF">2026-02-22T17:44:08Z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