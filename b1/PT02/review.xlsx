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raphical" sheetId="1" state="visible" r:id="rId3"/>
    <sheet name="Bisection" sheetId="2" state="visible" r:id="rId4"/>
    <sheet name="Fixed-Point" sheetId="3" state="visible" r:id="rId5"/>
    <sheet name="Newton-Raphson" sheetId="4" state="visible" r:id="rId6"/>
    <sheet name="Secant" sheetId="5" state="visible" r:id="rId7"/>
    <sheet name="Parabolic interpolation" sheetId="6" state="visible" r:id="rId8"/>
  </sheets>
  <definedNames>
    <definedName function="false" hidden="false" name="E" vbProcedure="false">#REF!</definedName>
    <definedName function="false" hidden="false" name="I" vbProcedure="false">#REF!</definedName>
    <definedName function="false" hidden="false" name="L" vbProcedure="false">#REF!</definedName>
    <definedName function="false" hidden="false" name="w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<sst xmlns="http://schemas.openxmlformats.org/spreadsheetml/2006/main" count="79" uniqueCount="32">
  <si>
    <t xml:space="preserve">GRAPHICAL METHOD</t>
  </si>
  <si>
    <t xml:space="preserve">x</t>
  </si>
  <si>
    <t xml:space="preserve">c(x)</t>
  </si>
  <si>
    <t xml:space="preserve">c'(x)</t>
  </si>
  <si>
    <t xml:space="preserve">y(x)</t>
  </si>
  <si>
    <t xml:space="preserve">y'(x)</t>
  </si>
  <si>
    <t xml:space="preserve">BISECTION METHOD</t>
  </si>
  <si>
    <t xml:space="preserve">i</t>
  </si>
  <si>
    <t xml:space="preserve">a</t>
  </si>
  <si>
    <t xml:space="preserve">b</t>
  </si>
  <si>
    <t xml:space="preserve">f(a)</t>
  </si>
  <si>
    <t xml:space="preserve">f(b)</t>
  </si>
  <si>
    <t xml:space="preserve">c</t>
  </si>
  <si>
    <t xml:space="preserve">f(c)</t>
  </si>
  <si>
    <t xml:space="preserve">f(a) f(c)</t>
  </si>
  <si>
    <t xml:space="preserve">Error bound</t>
  </si>
  <si>
    <t xml:space="preserve">Relative % error</t>
  </si>
  <si>
    <t xml:space="preserve">FIXED-POINT METHOD</t>
  </si>
  <si>
    <t xml:space="preserve">x_i</t>
  </si>
  <si>
    <t xml:space="preserve">x_(i+1)</t>
  </si>
  <si>
    <t xml:space="preserve">NEWTON-RAPHSON METHOD</t>
  </si>
  <si>
    <t xml:space="preserve">f(x_i)</t>
  </si>
  <si>
    <t xml:space="preserve">f’(x_i)</t>
  </si>
  <si>
    <t xml:space="preserve">Error</t>
  </si>
  <si>
    <t xml:space="preserve">SECANT METHOD</t>
  </si>
  <si>
    <t xml:space="preserve">x_(i-1)</t>
  </si>
  <si>
    <t xml:space="preserve">f(x_(i-1))</t>
  </si>
  <si>
    <t xml:space="preserve">PARABOLIC INTERPOLATION</t>
  </si>
  <si>
    <t xml:space="preserve">y</t>
  </si>
  <si>
    <t xml:space="preserve">a =</t>
  </si>
  <si>
    <t xml:space="preserve">b =</t>
  </si>
  <si>
    <t xml:space="preserve">c =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</si>
</sst>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0"/>
    <numFmt numFmtId="166" formatCode="0.00"/>
    <numFmt numFmtId="167" formatCode="0"/>
    <numFmt numFmtId="168" formatCode="0.000000"/>
    <numFmt numFmtId="169" formatCode="0.0000"/>
    <numFmt numFmtId="170" formatCode="#,##0.000000"/>
    <numFmt numFmtId="171" formatCode="#,##0.00"/>
    <numFmt numFmtId="172" formatCode="0.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Iosevka Aile"/>
      <family val="0"/>
      <charset val="1"/>
    </font>
    <font>
      <b val="true"/>
      <sz val="8"/>
      <color theme="1"/>
      <name val="Iosevka Aile"/>
      <family val="0"/>
      <charset val="1"/>
    </font>
    <font>
      <sz val="6"/>
      <color rgb="FF000000"/>
      <name val="Iosevka Aile Light"/>
      <family val="2"/>
    </font>
    <font>
      <sz val="6"/>
      <color rgb="FF000000"/>
      <name val="Iosevka Aile"/>
      <family val="2"/>
    </font>
    <font>
      <sz val="7"/>
      <color rgb="FF000000"/>
      <name val="Iosevka Aile"/>
      <family val="2"/>
    </font>
    <font>
      <sz val="8"/>
      <color theme="1"/>
      <name val="Iosevka Aile"/>
      <family val="0"/>
    </font>
    <font>
      <sz val="8"/>
      <color theme="1"/>
      <name val="Calibri"/>
      <family val="2"/>
      <charset val="1"/>
    </font>
    <font>
      <sz val="8"/>
      <name val="Iosevka Aile"/>
      <family val="0"/>
      <charset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BB6"/>
        <bgColor rgb="FFDEDCE6"/>
      </patternFill>
    </fill>
    <fill>
      <patternFill patternType="solid">
        <fgColor rgb="FFDEDCE6"/>
        <bgColor rgb="FFEEEEEE"/>
      </patternFill>
    </fill>
    <fill>
      <patternFill patternType="solid">
        <fgColor rgb="FFEEEEEE"/>
        <bgColor rgb="FFDEDC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DB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170060885996"/>
          <c:y val="0.0496978851963746"/>
          <c:w val="0.834768003359227"/>
          <c:h val="0.906042296072508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Graphical!$D$38:$D$38</c:f>
              <c:strCache>
                <c:ptCount val="1"/>
                <c:pt idx="0">
                  <c:v>y'(x)</c:v>
                </c:pt>
              </c:strCache>
            </c:strRef>
          </c:tx>
          <c:spPr>
            <a:solidFill>
              <a:srgbClr val="77bc65"/>
            </a:solidFill>
            <a:ln w="28800">
              <a:solidFill>
                <a:srgbClr val="77bc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Graphical!$B$39:$B$49</c:f>
              <c:numCache>
                <c:formatCode>General</c:formatCode>
                <c:ptCount val="11"/>
                <c:pt idx="0">
                  <c:v>2.6</c:v>
                </c:pt>
                <c:pt idx="1">
                  <c:v>2.7</c:v>
                </c:pt>
                <c:pt idx="2">
                  <c:v>2.8</c:v>
                </c:pt>
                <c:pt idx="3">
                  <c:v>2.9</c:v>
                </c:pt>
                <c:pt idx="4">
                  <c:v>3</c:v>
                </c:pt>
                <c:pt idx="5">
                  <c:v>3.1</c:v>
                </c:pt>
                <c:pt idx="6">
                  <c:v>3.2</c:v>
                </c:pt>
                <c:pt idx="7">
                  <c:v>3.3</c:v>
                </c:pt>
                <c:pt idx="8">
                  <c:v>3.4</c:v>
                </c:pt>
                <c:pt idx="9">
                  <c:v>3.5</c:v>
                </c:pt>
                <c:pt idx="10">
                  <c:v>3.6</c:v>
                </c:pt>
              </c:numCache>
            </c:numRef>
          </c:xVal>
          <c:yVal>
            <c:numRef>
              <c:f>Graphical!$D$39:$D$49</c:f>
              <c:numCache>
                <c:formatCode>0.0000000</c:formatCode>
                <c:ptCount val="11"/>
                <c:pt idx="0">
                  <c:v>-0.406630954595543</c:v>
                </c:pt>
                <c:pt idx="1">
                  <c:v>-0.317354798357144</c:v>
                </c:pt>
                <c:pt idx="2">
                  <c:v>-0.233739681990875</c:v>
                </c:pt>
                <c:pt idx="3">
                  <c:v>-0.155484914932243</c:v>
                </c:pt>
                <c:pt idx="4">
                  <c:v>-0.0823049344260574</c:v>
                </c:pt>
                <c:pt idx="5">
                  <c:v>-0.0139285590213101</c:v>
                </c:pt>
                <c:pt idx="6">
                  <c:v>0.0499017213624711</c:v>
                </c:pt>
                <c:pt idx="7">
                  <c:v>0.109430420584098</c:v>
                </c:pt>
                <c:pt idx="8">
                  <c:v>0.164889698344328</c:v>
                </c:pt>
                <c:pt idx="9">
                  <c:v>0.21649997078075</c:v>
                </c:pt>
                <c:pt idx="10">
                  <c:v>0.264470491131629</c:v>
                </c:pt>
              </c:numCache>
            </c:numRef>
          </c:yVal>
          <c:smooth val="1"/>
        </c:ser>
        <c:axId val="53307690"/>
        <c:axId val="28328200"/>
      </c:scatterChart>
      <c:valAx>
        <c:axId val="533076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28328200"/>
        <c:crosses val="autoZero"/>
        <c:crossBetween val="midCat"/>
      </c:valAx>
      <c:valAx>
        <c:axId val="28328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5330769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40002099296736"/>
          <c:y val="0.075366258873282"/>
          <c:w val="0.200797732759526"/>
          <c:h val="0.078235916024769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300775852907"/>
          <c:y val="0.0496978851963746"/>
          <c:w val="0.832288234668934"/>
          <c:h val="0.906042296072508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Graphical!$C$4:$C$4</c:f>
              <c:strCache>
                <c:ptCount val="1"/>
                <c:pt idx="0">
                  <c:v>c(x)</c:v>
                </c:pt>
              </c:strCache>
            </c:strRef>
          </c:tx>
          <c:spPr>
            <a:solidFill>
              <a:srgbClr val="729fcf"/>
            </a:solidFill>
            <a:ln w="28800">
              <a:solidFill>
                <a:srgbClr val="729f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Graphical!$B$5:$B$35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Graphical!$C$5:$C$35</c:f>
              <c:numCache>
                <c:formatCode>0.0000000</c:formatCode>
                <c:ptCount val="31"/>
                <c:pt idx="0">
                  <c:v>10</c:v>
                </c:pt>
                <c:pt idx="1">
                  <c:v>7.38855697206347</c:v>
                </c:pt>
                <c:pt idx="2">
                  <c:v>5.59143051538542</c:v>
                </c:pt>
                <c:pt idx="3">
                  <c:v>4.40704596843264</c:v>
                </c:pt>
                <c:pt idx="4">
                  <c:v>3.68036063918173</c:v>
                </c:pt>
                <c:pt idx="5">
                  <c:v>3.2923948079034</c:v>
                </c:pt>
                <c:pt idx="6">
                  <c:v>3.15209442897785</c:v>
                </c:pt>
                <c:pt idx="7">
                  <c:v>3.19000831487626</c:v>
                </c:pt>
                <c:pt idx="8">
                  <c:v>3.35337712453407</c:v>
                </c:pt>
                <c:pt idx="9">
                  <c:v>3.6023206695918</c:v>
                </c:pt>
                <c:pt idx="10">
                  <c:v>3.90687950338795</c:v>
                </c:pt>
                <c:pt idx="11">
                  <c:v>4.24472083657281</c:v>
                </c:pt>
                <c:pt idx="12">
                  <c:v>4.5993609310312</c:v>
                </c:pt>
                <c:pt idx="13">
                  <c:v>4.95878890927741</c:v>
                </c:pt>
                <c:pt idx="14">
                  <c:v>5.31440244244989</c:v>
                </c:pt>
                <c:pt idx="15">
                  <c:v>5.66018565295334</c:v>
                </c:pt>
                <c:pt idx="16">
                  <c:v>5.99207503873039</c:v>
                </c:pt>
                <c:pt idx="17">
                  <c:v>6.30747126936359</c:v>
                </c:pt>
                <c:pt idx="18">
                  <c:v>6.6048640784224</c:v>
                </c:pt>
                <c:pt idx="19">
                  <c:v>6.88354477251932</c:v>
                </c:pt>
                <c:pt idx="20">
                  <c:v>7.14338655552901</c:v>
                </c:pt>
                <c:pt idx="21">
                  <c:v>7.38467728464665</c:v>
                </c:pt>
                <c:pt idx="22">
                  <c:v>7.60799271242018</c:v>
                </c:pt>
                <c:pt idx="23">
                  <c:v>7.8141009428444</c:v>
                </c:pt>
                <c:pt idx="24">
                  <c:v>8.00389090922258</c:v>
                </c:pt>
                <c:pt idx="25">
                  <c:v>8.17831929851128</c:v>
                </c:pt>
                <c:pt idx="26">
                  <c:v>8.33837160382826</c:v>
                </c:pt>
                <c:pt idx="27">
                  <c:v>8.48503396357913</c:v>
                </c:pt>
                <c:pt idx="28">
                  <c:v>8.61927320441798</c:v>
                </c:pt>
                <c:pt idx="29">
                  <c:v>8.74202309440141</c:v>
                </c:pt>
                <c:pt idx="30">
                  <c:v>8.85417526990619</c:v>
                </c:pt>
              </c:numCache>
            </c:numRef>
          </c:yVal>
          <c:smooth val="1"/>
        </c:ser>
        <c:axId val="46887449"/>
        <c:axId val="83866864"/>
      </c:scatterChart>
      <c:valAx>
        <c:axId val="468874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83866864"/>
        <c:crosses val="autoZero"/>
        <c:crossBetween val="midCat"/>
      </c:valAx>
      <c:valAx>
        <c:axId val="83866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468874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39532412327311"/>
          <c:y val="0.857876453707899"/>
          <c:w val="0.190116896918172"/>
          <c:h val="0.078235916024769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194494632798"/>
          <c:y val="0.0496978851963746"/>
          <c:w val="0.832181953448826"/>
          <c:h val="0.905891238670695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Graphical!$D$4:$D$4</c:f>
              <c:strCache>
                <c:ptCount val="1"/>
                <c:pt idx="0">
                  <c:v>c'(x)</c:v>
                </c:pt>
              </c:strCache>
            </c:strRef>
          </c:tx>
          <c:spPr>
            <a:solidFill>
              <a:srgbClr val="77bc65"/>
            </a:solidFill>
            <a:ln w="28800">
              <a:solidFill>
                <a:srgbClr val="77bc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Graphical!$B$5:$B$35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Graphical!$D$5:$D$35</c:f>
              <c:numCache>
                <c:formatCode>0.0000000</c:formatCode>
                <c:ptCount val="31"/>
                <c:pt idx="0">
                  <c:v>-6.2</c:v>
                </c:pt>
                <c:pt idx="1">
                  <c:v>-4.33239067973477</c:v>
                </c:pt>
                <c:pt idx="2">
                  <c:v>-2.92286188814156</c:v>
                </c:pt>
                <c:pt idx="3">
                  <c:v>-1.86601136099649</c:v>
                </c:pt>
                <c:pt idx="4">
                  <c:v>-1.08012105670747</c:v>
                </c:pt>
                <c:pt idx="5">
                  <c:v>-0.501884754034825</c:v>
                </c:pt>
                <c:pt idx="6">
                  <c:v>-0.0823049344260574</c:v>
                </c:pt>
                <c:pt idx="7">
                  <c:v>0.21649997078075</c:v>
                </c:pt>
                <c:pt idx="8">
                  <c:v>0.423779590271528</c:v>
                </c:pt>
                <c:pt idx="9">
                  <c:v>0.562083880493998</c:v>
                </c:pt>
                <c:pt idx="10">
                  <c:v>0.648765902888117</c:v>
                </c:pt>
                <c:pt idx="11">
                  <c:v>0.697150301569579</c:v>
                </c:pt>
                <c:pt idx="12">
                  <c:v>0.717441599223315</c:v>
                </c:pt>
                <c:pt idx="13">
                  <c:v>0.717430018680616</c:v>
                </c:pt>
                <c:pt idx="14">
                  <c:v>0.703039758716146</c:v>
                </c:pt>
                <c:pt idx="15">
                  <c:v>0.678754701631609</c:v>
                </c:pt>
                <c:pt idx="16">
                  <c:v>0.647948781531074</c:v>
                </c:pt>
                <c:pt idx="17">
                  <c:v>0.613142208585122</c:v>
                </c:pt>
                <c:pt idx="18">
                  <c:v>0.576200046562641</c:v>
                </c:pt>
                <c:pt idx="19">
                  <c:v>0.538485982961982</c:v>
                </c:pt>
                <c:pt idx="20">
                  <c:v>0.500981283055159</c:v>
                </c:pt>
                <c:pt idx="21">
                  <c:v>0.464376701842213</c:v>
                </c:pt>
                <c:pt idx="22">
                  <c:v>0.429143401721688</c:v>
                </c:pt>
                <c:pt idx="23">
                  <c:v>0.395587579921204</c:v>
                </c:pt>
                <c:pt idx="24">
                  <c:v>0.363892463752379</c:v>
                </c:pt>
                <c:pt idx="25">
                  <c:v>0.334150517638244</c:v>
                </c:pt>
                <c:pt idx="26">
                  <c:v>0.30638807227617</c:v>
                </c:pt>
                <c:pt idx="27">
                  <c:v>0.280584093271059</c:v>
                </c:pt>
                <c:pt idx="28">
                  <c:v>0.256684422974145</c:v>
                </c:pt>
                <c:pt idx="29">
                  <c:v>0.234612530852907</c:v>
                </c:pt>
                <c:pt idx="30">
                  <c:v>0.214277575622908</c:v>
                </c:pt>
              </c:numCache>
            </c:numRef>
          </c:yVal>
          <c:smooth val="1"/>
        </c:ser>
        <c:axId val="11056398"/>
        <c:axId val="93888865"/>
      </c:scatterChart>
      <c:valAx>
        <c:axId val="110563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93888865"/>
        <c:crosses val="autoZero"/>
        <c:crossBetween val="midCat"/>
      </c:valAx>
      <c:valAx>
        <c:axId val="938888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110563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56455211985974"/>
          <c:y val="0.0720326185442465"/>
          <c:w val="0.190116896918172"/>
          <c:h val="0.078235916024769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77bc65"/>
            </a:solidFill>
            <a:ln w="28800">
              <a:noFill/>
            </a:ln>
          </c:spPr>
          <c:marker>
            <c:symbol val="square"/>
            <c:size val="4"/>
            <c:spPr>
              <a:solidFill>
                <a:srgbClr val="77bc65"/>
              </a:solidFill>
            </c:spPr>
          </c:marker>
          <c:dPt>
            <c:idx val="0"/>
            <c:marker>
              <c:symbol val="square"/>
              <c:size val="4"/>
              <c:spPr>
                <a:solidFill>
                  <a:srgbClr val="77bc65"/>
                </a:solidFill>
              </c:spPr>
            </c:marker>
          </c:dPt>
          <c:dPt>
            <c:idx val="1"/>
            <c:marker>
              <c:symbol val="square"/>
              <c:size val="4"/>
              <c:spPr>
                <a:solidFill>
                  <a:srgbClr val="77bc65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77bc65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1"/>
          </c:trendline>
          <c:xVal>
            <c:numRef>
              <c:f>'Parabolic interpolation'!$B$5:$B$7</c:f>
              <c:numCache>
                <c:formatCode>#,##0.000000</c:formatCode>
                <c:ptCount val="3"/>
                <c:pt idx="0">
                  <c:v>0</c:v>
                </c:pt>
                <c:pt idx="1">
                  <c:v>3</c:v>
                </c:pt>
                <c:pt idx="2">
                  <c:v>6</c:v>
                </c:pt>
              </c:numCache>
            </c:numRef>
          </c:xVal>
          <c:yVal>
            <c:numRef>
              <c:f>'Parabolic interpolation'!$C$5:$C$7</c:f>
              <c:numCache>
                <c:formatCode>#,##0.000000</c:formatCode>
                <c:ptCount val="3"/>
                <c:pt idx="0">
                  <c:v>10</c:v>
                </c:pt>
                <c:pt idx="1">
                  <c:v>3.15209442897785</c:v>
                </c:pt>
                <c:pt idx="2">
                  <c:v>4.5993609310312</c:v>
                </c:pt>
              </c:numCache>
            </c:numRef>
          </c:yVal>
          <c:smooth val="0"/>
        </c:ser>
        <c:axId val="78700651"/>
        <c:axId val="90314079"/>
      </c:scatterChart>
      <c:valAx>
        <c:axId val="787006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90314079"/>
        <c:crossesAt val="0"/>
        <c:crossBetween val="midCat"/>
      </c:valAx>
      <c:valAx>
        <c:axId val="90314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78700651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354600</xdr:colOff>
      <xdr:row>37</xdr:row>
      <xdr:rowOff>0</xdr:rowOff>
    </xdr:from>
    <xdr:to>
      <xdr:col>8</xdr:col>
      <xdr:colOff>855360</xdr:colOff>
      <xdr:row>51</xdr:row>
      <xdr:rowOff>115920</xdr:rowOff>
    </xdr:to>
    <xdr:graphicFrame>
      <xdr:nvGraphicFramePr>
        <xdr:cNvPr id="0" name=""/>
        <xdr:cNvGraphicFramePr/>
      </xdr:nvGraphicFramePr>
      <xdr:xfrm>
        <a:off x="3282480" y="5991120"/>
        <a:ext cx="3429000" cy="238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354600</xdr:colOff>
      <xdr:row>3</xdr:row>
      <xdr:rowOff>1800</xdr:rowOff>
    </xdr:from>
    <xdr:to>
      <xdr:col>8</xdr:col>
      <xdr:colOff>813240</xdr:colOff>
      <xdr:row>17</xdr:row>
      <xdr:rowOff>117720</xdr:rowOff>
    </xdr:to>
    <xdr:graphicFrame>
      <xdr:nvGraphicFramePr>
        <xdr:cNvPr id="1" name=""/>
        <xdr:cNvGraphicFramePr/>
      </xdr:nvGraphicFramePr>
      <xdr:xfrm>
        <a:off x="3282480" y="487440"/>
        <a:ext cx="3386880" cy="238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356760</xdr:colOff>
      <xdr:row>19</xdr:row>
      <xdr:rowOff>360</xdr:rowOff>
    </xdr:from>
    <xdr:to>
      <xdr:col>8</xdr:col>
      <xdr:colOff>815400</xdr:colOff>
      <xdr:row>33</xdr:row>
      <xdr:rowOff>116280</xdr:rowOff>
    </xdr:to>
    <xdr:graphicFrame>
      <xdr:nvGraphicFramePr>
        <xdr:cNvPr id="2" name=""/>
        <xdr:cNvGraphicFramePr/>
      </xdr:nvGraphicFramePr>
      <xdr:xfrm>
        <a:off x="3284640" y="3076920"/>
        <a:ext cx="3386880" cy="238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854640</xdr:colOff>
      <xdr:row>3</xdr:row>
      <xdr:rowOff>360</xdr:rowOff>
    </xdr:from>
    <xdr:to>
      <xdr:col>12</xdr:col>
      <xdr:colOff>821880</xdr:colOff>
      <xdr:row>19</xdr:row>
      <xdr:rowOff>12240</xdr:rowOff>
    </xdr:to>
    <xdr:graphicFrame>
      <xdr:nvGraphicFramePr>
        <xdr:cNvPr id="3" name=""/>
        <xdr:cNvGraphicFramePr/>
      </xdr:nvGraphicFramePr>
      <xdr:xfrm>
        <a:off x="6963480" y="488160"/>
        <a:ext cx="3391200" cy="261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9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1" min="1" style="1" width="4.5"/>
    <col collapsed="false" customWidth="false" hidden="false" outlineLevel="0" max="4" min="2" style="1" width="10.7"/>
    <col collapsed="false" customWidth="true" hidden="false" outlineLevel="0" max="5" min="5" style="1" width="4.5"/>
    <col collapsed="false" customWidth="false" hidden="false" outlineLevel="0" max="7" min="6" style="2" width="10.7"/>
    <col collapsed="false" customWidth="false" hidden="false" outlineLevel="0" max="16384" min="8" style="1" width="10.7"/>
  </cols>
  <sheetData>
    <row r="2" customFormat="false" ht="12.75" hidden="false" customHeight="true" outlineLevel="0" collapsed="false">
      <c r="B2" s="3" t="s">
        <v>0</v>
      </c>
    </row>
    <row r="4" s="1" customFormat="true" ht="12.75" hidden="false" customHeight="true" outlineLevel="0" collapsed="false">
      <c r="B4" s="4" t="s">
        <v>1</v>
      </c>
      <c r="C4" s="4" t="s">
        <v>2</v>
      </c>
      <c r="D4" s="4" t="s">
        <v>3</v>
      </c>
    </row>
    <row r="5" s="1" customFormat="true" ht="12.75" hidden="false" customHeight="true" outlineLevel="0" collapsed="false">
      <c r="B5" s="1" t="n">
        <v>0</v>
      </c>
      <c r="C5" s="5" t="n">
        <f aca="false">10-20*(EXP(-0.19*B5)-EXP(-0.5*B5))</f>
        <v>10</v>
      </c>
      <c r="D5" s="5" t="n">
        <f aca="false">-20 * (-0.19*EXP(-0.19*B5) + 0.5*EXP(-0.5*B5))</f>
        <v>-6.2</v>
      </c>
    </row>
    <row r="6" s="1" customFormat="true" ht="12.75" hidden="false" customHeight="true" outlineLevel="0" collapsed="false">
      <c r="B6" s="1" t="n">
        <v>0.5</v>
      </c>
      <c r="C6" s="5" t="n">
        <f aca="false">10-20*(EXP(-0.19*B6)-EXP(-0.5*B6))</f>
        <v>7.38855697206347</v>
      </c>
      <c r="D6" s="5" t="n">
        <f aca="false">-20 * (-0.19*EXP(-0.19*B6) + 0.5*EXP(-0.5*B6))</f>
        <v>-4.33239067973477</v>
      </c>
    </row>
    <row r="7" s="1" customFormat="true" ht="12.75" hidden="false" customHeight="true" outlineLevel="0" collapsed="false">
      <c r="B7" s="1" t="n">
        <v>1</v>
      </c>
      <c r="C7" s="5" t="n">
        <f aca="false">10-20*(EXP(-0.19*B7)-EXP(-0.5*B7))</f>
        <v>5.59143051538542</v>
      </c>
      <c r="D7" s="5" t="n">
        <f aca="false">-20 * (-0.19*EXP(-0.19*B7) + 0.5*EXP(-0.5*B7))</f>
        <v>-2.92286188814156</v>
      </c>
    </row>
    <row r="8" s="1" customFormat="true" ht="12.75" hidden="false" customHeight="true" outlineLevel="0" collapsed="false">
      <c r="B8" s="1" t="n">
        <v>1.5</v>
      </c>
      <c r="C8" s="5" t="n">
        <f aca="false">10-20*(EXP(-0.19*B8)-EXP(-0.5*B8))</f>
        <v>4.40704596843264</v>
      </c>
      <c r="D8" s="5" t="n">
        <f aca="false">-20 * (-0.19*EXP(-0.19*B8) + 0.5*EXP(-0.5*B8))</f>
        <v>-1.86601136099649</v>
      </c>
    </row>
    <row r="9" customFormat="false" ht="12.75" hidden="false" customHeight="true" outlineLevel="0" collapsed="false">
      <c r="B9" s="1" t="n">
        <v>2</v>
      </c>
      <c r="C9" s="5" t="n">
        <f aca="false">10-20*(EXP(-0.19*B9)-EXP(-0.5*B9))</f>
        <v>3.68036063918173</v>
      </c>
      <c r="D9" s="5" t="n">
        <f aca="false">-20 * (-0.19*EXP(-0.19*B9) + 0.5*EXP(-0.5*B9))</f>
        <v>-1.08012105670747</v>
      </c>
    </row>
    <row r="10" customFormat="false" ht="12.75" hidden="false" customHeight="true" outlineLevel="0" collapsed="false">
      <c r="B10" s="1" t="n">
        <v>2.5</v>
      </c>
      <c r="C10" s="5" t="n">
        <f aca="false">10-20*(EXP(-0.19*B10)-EXP(-0.5*B10))</f>
        <v>3.2923948079034</v>
      </c>
      <c r="D10" s="5" t="n">
        <f aca="false">-20 * (-0.19*EXP(-0.19*B10) + 0.5*EXP(-0.5*B10))</f>
        <v>-0.501884754034825</v>
      </c>
    </row>
    <row r="11" customFormat="false" ht="12.75" hidden="false" customHeight="true" outlineLevel="0" collapsed="false">
      <c r="B11" s="6" t="n">
        <v>3</v>
      </c>
      <c r="C11" s="7" t="n">
        <f aca="false">10-20*(EXP(-0.19*B11)-EXP(-0.5*B11))</f>
        <v>3.15209442897785</v>
      </c>
      <c r="D11" s="7" t="n">
        <f aca="false">-20 * (-0.19*EXP(-0.19*B11) + 0.5*EXP(-0.5*B11))</f>
        <v>-0.0823049344260574</v>
      </c>
    </row>
    <row r="12" customFormat="false" ht="12.75" hidden="false" customHeight="true" outlineLevel="0" collapsed="false">
      <c r="B12" s="6" t="n">
        <v>3.5</v>
      </c>
      <c r="C12" s="7" t="n">
        <f aca="false">10-20*(EXP(-0.19*B12)-EXP(-0.5*B12))</f>
        <v>3.19000831487626</v>
      </c>
      <c r="D12" s="7" t="n">
        <f aca="false">-20 * (-0.19*EXP(-0.19*B12) + 0.5*EXP(-0.5*B12))</f>
        <v>0.21649997078075</v>
      </c>
    </row>
    <row r="13" customFormat="false" ht="12.75" hidden="false" customHeight="true" outlineLevel="0" collapsed="false">
      <c r="B13" s="1" t="n">
        <v>4</v>
      </c>
      <c r="C13" s="5" t="n">
        <f aca="false">10-20*(EXP(-0.19*B13)-EXP(-0.5*B13))</f>
        <v>3.35337712453407</v>
      </c>
      <c r="D13" s="5" t="n">
        <f aca="false">-20 * (-0.19*EXP(-0.19*B13) + 0.5*EXP(-0.5*B13))</f>
        <v>0.423779590271528</v>
      </c>
    </row>
    <row r="14" customFormat="false" ht="12.75" hidden="false" customHeight="true" outlineLevel="0" collapsed="false">
      <c r="B14" s="1" t="n">
        <v>4.5</v>
      </c>
      <c r="C14" s="5" t="n">
        <f aca="false">10-20*(EXP(-0.19*B14)-EXP(-0.5*B14))</f>
        <v>3.6023206695918</v>
      </c>
      <c r="D14" s="5" t="n">
        <f aca="false">-20 * (-0.19*EXP(-0.19*B14) + 0.5*EXP(-0.5*B14))</f>
        <v>0.562083880493998</v>
      </c>
    </row>
    <row r="15" customFormat="false" ht="12.75" hidden="false" customHeight="true" outlineLevel="0" collapsed="false">
      <c r="B15" s="1" t="n">
        <v>5</v>
      </c>
      <c r="C15" s="5" t="n">
        <f aca="false">10-20*(EXP(-0.19*B15)-EXP(-0.5*B15))</f>
        <v>3.90687950338795</v>
      </c>
      <c r="D15" s="5" t="n">
        <f aca="false">-20 * (-0.19*EXP(-0.19*B15) + 0.5*EXP(-0.5*B15))</f>
        <v>0.648765902888117</v>
      </c>
    </row>
    <row r="16" customFormat="false" ht="12.75" hidden="false" customHeight="true" outlineLevel="0" collapsed="false">
      <c r="B16" s="1" t="n">
        <v>5.5</v>
      </c>
      <c r="C16" s="5" t="n">
        <f aca="false">10-20*(EXP(-0.19*B16)-EXP(-0.5*B16))</f>
        <v>4.24472083657281</v>
      </c>
      <c r="D16" s="5" t="n">
        <f aca="false">-20 * (-0.19*EXP(-0.19*B16) + 0.5*EXP(-0.5*B16))</f>
        <v>0.697150301569579</v>
      </c>
    </row>
    <row r="17" customFormat="false" ht="12.75" hidden="false" customHeight="true" outlineLevel="0" collapsed="false">
      <c r="B17" s="1" t="n">
        <v>6</v>
      </c>
      <c r="C17" s="5" t="n">
        <f aca="false">10-20*(EXP(-0.19*B17)-EXP(-0.5*B17))</f>
        <v>4.5993609310312</v>
      </c>
      <c r="D17" s="5" t="n">
        <f aca="false">-20 * (-0.19*EXP(-0.19*B17) + 0.5*EXP(-0.5*B17))</f>
        <v>0.717441599223315</v>
      </c>
    </row>
    <row r="18" customFormat="false" ht="12.75" hidden="false" customHeight="true" outlineLevel="0" collapsed="false">
      <c r="B18" s="1" t="n">
        <v>6.5</v>
      </c>
      <c r="C18" s="5" t="n">
        <f aca="false">10-20*(EXP(-0.19*B18)-EXP(-0.5*B18))</f>
        <v>4.95878890927741</v>
      </c>
      <c r="D18" s="5" t="n">
        <f aca="false">-20 * (-0.19*EXP(-0.19*B18) + 0.5*EXP(-0.5*B18))</f>
        <v>0.717430018680616</v>
      </c>
    </row>
    <row r="19" customFormat="false" ht="12.75" hidden="false" customHeight="true" outlineLevel="0" collapsed="false">
      <c r="B19" s="1" t="n">
        <v>7</v>
      </c>
      <c r="C19" s="5" t="n">
        <f aca="false">10-20*(EXP(-0.19*B19)-EXP(-0.5*B19))</f>
        <v>5.31440244244989</v>
      </c>
      <c r="D19" s="5" t="n">
        <f aca="false">-20 * (-0.19*EXP(-0.19*B19) + 0.5*EXP(-0.5*B19))</f>
        <v>0.703039758716146</v>
      </c>
    </row>
    <row r="20" customFormat="false" ht="12.75" hidden="false" customHeight="true" outlineLevel="0" collapsed="false">
      <c r="B20" s="1" t="n">
        <v>7.5</v>
      </c>
      <c r="C20" s="5" t="n">
        <f aca="false">10-20*(EXP(-0.19*B20)-EXP(-0.5*B20))</f>
        <v>5.66018565295334</v>
      </c>
      <c r="D20" s="5" t="n">
        <f aca="false">-20 * (-0.19*EXP(-0.19*B20) + 0.5*EXP(-0.5*B20))</f>
        <v>0.678754701631609</v>
      </c>
    </row>
    <row r="21" customFormat="false" ht="12.75" hidden="false" customHeight="true" outlineLevel="0" collapsed="false">
      <c r="B21" s="1" t="n">
        <v>8</v>
      </c>
      <c r="C21" s="5" t="n">
        <f aca="false">10-20*(EXP(-0.19*B21)-EXP(-0.5*B21))</f>
        <v>5.99207503873039</v>
      </c>
      <c r="D21" s="5" t="n">
        <f aca="false">-20 * (-0.19*EXP(-0.19*B21) + 0.5*EXP(-0.5*B21))</f>
        <v>0.647948781531074</v>
      </c>
    </row>
    <row r="22" customFormat="false" ht="12.75" hidden="false" customHeight="true" outlineLevel="0" collapsed="false">
      <c r="B22" s="1" t="n">
        <v>8.5</v>
      </c>
      <c r="C22" s="5" t="n">
        <f aca="false">10-20*(EXP(-0.19*B22)-EXP(-0.5*B22))</f>
        <v>6.30747126936359</v>
      </c>
      <c r="D22" s="5" t="n">
        <f aca="false">-20 * (-0.19*EXP(-0.19*B22) + 0.5*EXP(-0.5*B22))</f>
        <v>0.613142208585122</v>
      </c>
    </row>
    <row r="23" customFormat="false" ht="12.75" hidden="false" customHeight="true" outlineLevel="0" collapsed="false">
      <c r="B23" s="1" t="n">
        <v>9</v>
      </c>
      <c r="C23" s="5" t="n">
        <f aca="false">10-20*(EXP(-0.19*B23)-EXP(-0.5*B23))</f>
        <v>6.6048640784224</v>
      </c>
      <c r="D23" s="5" t="n">
        <f aca="false">-20 * (-0.19*EXP(-0.19*B23) + 0.5*EXP(-0.5*B23))</f>
        <v>0.576200046562641</v>
      </c>
    </row>
    <row r="24" customFormat="false" ht="12.75" hidden="false" customHeight="true" outlineLevel="0" collapsed="false">
      <c r="B24" s="1" t="n">
        <v>9.5</v>
      </c>
      <c r="C24" s="5" t="n">
        <f aca="false">10-20*(EXP(-0.19*B24)-EXP(-0.5*B24))</f>
        <v>6.88354477251932</v>
      </c>
      <c r="D24" s="5" t="n">
        <f aca="false">-20 * (-0.19*EXP(-0.19*B24) + 0.5*EXP(-0.5*B24))</f>
        <v>0.538485982961982</v>
      </c>
    </row>
    <row r="25" customFormat="false" ht="12.75" hidden="false" customHeight="true" outlineLevel="0" collapsed="false">
      <c r="B25" s="1" t="n">
        <v>10</v>
      </c>
      <c r="C25" s="5" t="n">
        <f aca="false">10-20*(EXP(-0.19*B25)-EXP(-0.5*B25))</f>
        <v>7.14338655552901</v>
      </c>
      <c r="D25" s="5" t="n">
        <f aca="false">-20 * (-0.19*EXP(-0.19*B25) + 0.5*EXP(-0.5*B25))</f>
        <v>0.500981283055159</v>
      </c>
    </row>
    <row r="26" customFormat="false" ht="12.75" hidden="false" customHeight="true" outlineLevel="0" collapsed="false">
      <c r="B26" s="1" t="n">
        <v>10.5</v>
      </c>
      <c r="C26" s="5" t="n">
        <f aca="false">10-20*(EXP(-0.19*B26)-EXP(-0.5*B26))</f>
        <v>7.38467728464665</v>
      </c>
      <c r="D26" s="5" t="n">
        <f aca="false">-20 * (-0.19*EXP(-0.19*B26) + 0.5*EXP(-0.5*B26))</f>
        <v>0.464376701842213</v>
      </c>
    </row>
    <row r="27" customFormat="false" ht="12.75" hidden="false" customHeight="true" outlineLevel="0" collapsed="false">
      <c r="B27" s="1" t="n">
        <v>11</v>
      </c>
      <c r="C27" s="5" t="n">
        <f aca="false">10-20*(EXP(-0.19*B27)-EXP(-0.5*B27))</f>
        <v>7.60799271242018</v>
      </c>
      <c r="D27" s="5" t="n">
        <f aca="false">-20 * (-0.19*EXP(-0.19*B27) + 0.5*EXP(-0.5*B27))</f>
        <v>0.429143401721688</v>
      </c>
    </row>
    <row r="28" customFormat="false" ht="12.75" hidden="false" customHeight="true" outlineLevel="0" collapsed="false">
      <c r="B28" s="1" t="n">
        <v>11.5</v>
      </c>
      <c r="C28" s="5" t="n">
        <f aca="false">10-20*(EXP(-0.19*B28)-EXP(-0.5*B28))</f>
        <v>7.8141009428444</v>
      </c>
      <c r="D28" s="5" t="n">
        <f aca="false">-20 * (-0.19*EXP(-0.19*B28) + 0.5*EXP(-0.5*B28))</f>
        <v>0.395587579921204</v>
      </c>
    </row>
    <row r="29" customFormat="false" ht="12.75" hidden="false" customHeight="true" outlineLevel="0" collapsed="false">
      <c r="B29" s="1" t="n">
        <v>12</v>
      </c>
      <c r="C29" s="5" t="n">
        <f aca="false">10-20*(EXP(-0.19*B29)-EXP(-0.5*B29))</f>
        <v>8.00389090922258</v>
      </c>
      <c r="D29" s="5" t="n">
        <f aca="false">-20 * (-0.19*EXP(-0.19*B29) + 0.5*EXP(-0.5*B29))</f>
        <v>0.363892463752379</v>
      </c>
    </row>
    <row r="30" customFormat="false" ht="12.75" hidden="false" customHeight="true" outlineLevel="0" collapsed="false">
      <c r="B30" s="1" t="n">
        <v>12.5</v>
      </c>
      <c r="C30" s="5" t="n">
        <f aca="false">10-20*(EXP(-0.19*B30)-EXP(-0.5*B30))</f>
        <v>8.17831929851128</v>
      </c>
      <c r="D30" s="5" t="n">
        <f aca="false">-20 * (-0.19*EXP(-0.19*B30) + 0.5*EXP(-0.5*B30))</f>
        <v>0.334150517638244</v>
      </c>
    </row>
    <row r="31" customFormat="false" ht="12.75" hidden="false" customHeight="true" outlineLevel="0" collapsed="false">
      <c r="B31" s="1" t="n">
        <v>13</v>
      </c>
      <c r="C31" s="5" t="n">
        <f aca="false">10-20*(EXP(-0.19*B31)-EXP(-0.5*B31))</f>
        <v>8.33837160382826</v>
      </c>
      <c r="D31" s="5" t="n">
        <f aca="false">-20 * (-0.19*EXP(-0.19*B31) + 0.5*EXP(-0.5*B31))</f>
        <v>0.30638807227617</v>
      </c>
    </row>
    <row r="32" customFormat="false" ht="12.75" hidden="false" customHeight="true" outlineLevel="0" collapsed="false">
      <c r="B32" s="1" t="n">
        <v>13.5</v>
      </c>
      <c r="C32" s="5" t="n">
        <f aca="false">10-20*(EXP(-0.19*B32)-EXP(-0.5*B32))</f>
        <v>8.48503396357913</v>
      </c>
      <c r="D32" s="5" t="n">
        <f aca="false">-20 * (-0.19*EXP(-0.19*B32) + 0.5*EXP(-0.5*B32))</f>
        <v>0.280584093271059</v>
      </c>
    </row>
    <row r="33" customFormat="false" ht="12.75" hidden="false" customHeight="true" outlineLevel="0" collapsed="false">
      <c r="B33" s="1" t="n">
        <v>14</v>
      </c>
      <c r="C33" s="5" t="n">
        <f aca="false">10-20*(EXP(-0.19*B33)-EXP(-0.5*B33))</f>
        <v>8.61927320441798</v>
      </c>
      <c r="D33" s="5" t="n">
        <f aca="false">-20 * (-0.19*EXP(-0.19*B33) + 0.5*EXP(-0.5*B33))</f>
        <v>0.256684422974145</v>
      </c>
    </row>
    <row r="34" customFormat="false" ht="12.75" hidden="false" customHeight="true" outlineLevel="0" collapsed="false">
      <c r="B34" s="1" t="n">
        <v>14.5</v>
      </c>
      <c r="C34" s="5" t="n">
        <f aca="false">10-20*(EXP(-0.19*B34)-EXP(-0.5*B34))</f>
        <v>8.74202309440141</v>
      </c>
      <c r="D34" s="5" t="n">
        <f aca="false">-20 * (-0.19*EXP(-0.19*B34) + 0.5*EXP(-0.5*B34))</f>
        <v>0.234612530852907</v>
      </c>
    </row>
    <row r="35" customFormat="false" ht="12.75" hidden="false" customHeight="true" outlineLevel="0" collapsed="false">
      <c r="B35" s="1" t="n">
        <v>15</v>
      </c>
      <c r="C35" s="5" t="n">
        <f aca="false">10-20*(EXP(-0.19*B35)-EXP(-0.5*B35))</f>
        <v>8.85417526990619</v>
      </c>
      <c r="D35" s="5" t="n">
        <f aca="false">-20 * (-0.19*EXP(-0.19*B35) + 0.5*EXP(-0.5*B35))</f>
        <v>0.214277575622908</v>
      </c>
    </row>
    <row r="36" customFormat="false" ht="12.75" hidden="false" customHeight="true" outlineLevel="0" collapsed="false">
      <c r="C36" s="8"/>
      <c r="D36" s="8"/>
    </row>
    <row r="37" customFormat="false" ht="12.75" hidden="false" customHeight="true" outlineLevel="0" collapsed="false">
      <c r="C37" s="8"/>
      <c r="D37" s="8"/>
    </row>
    <row r="38" customFormat="false" ht="12.75" hidden="false" customHeight="true" outlineLevel="0" collapsed="false">
      <c r="B38" s="4" t="s">
        <v>1</v>
      </c>
      <c r="C38" s="4" t="s">
        <v>4</v>
      </c>
      <c r="D38" s="4" t="s">
        <v>5</v>
      </c>
    </row>
    <row r="39" customFormat="false" ht="12.75" hidden="false" customHeight="true" outlineLevel="0" collapsed="false">
      <c r="B39" s="1" t="n">
        <v>2.6</v>
      </c>
      <c r="C39" s="5" t="n">
        <f aca="false">10-20*(EXP(-0.19*B39)-EXP(-0.5*B39))</f>
        <v>3.24702019886666</v>
      </c>
      <c r="D39" s="5" t="n">
        <f aca="false">-20 * (-0.19*EXP(-0.19*B39) + 0.5*EXP(-0.5*B39))</f>
        <v>-0.406630954595543</v>
      </c>
    </row>
    <row r="40" customFormat="false" ht="12.75" hidden="false" customHeight="true" outlineLevel="0" collapsed="false">
      <c r="B40" s="1" t="n">
        <v>2.7</v>
      </c>
      <c r="C40" s="5" t="n">
        <f aca="false">10-20*(EXP(-0.19*B40)-EXP(-0.5*B40))</f>
        <v>3.21086938080325</v>
      </c>
      <c r="D40" s="5" t="n">
        <f aca="false">-20 * (-0.19*EXP(-0.19*B40) + 0.5*EXP(-0.5*B40))</f>
        <v>-0.317354798357144</v>
      </c>
    </row>
    <row r="41" customFormat="false" ht="12.75" hidden="false" customHeight="true" outlineLevel="0" collapsed="false">
      <c r="B41" s="1" t="n">
        <v>2.8</v>
      </c>
      <c r="C41" s="5" t="n">
        <f aca="false">10-20*(EXP(-0.19*B41)-EXP(-0.5*B41))</f>
        <v>3.18336055554166</v>
      </c>
      <c r="D41" s="5" t="n">
        <f aca="false">-20 * (-0.19*EXP(-0.19*B41) + 0.5*EXP(-0.5*B41))</f>
        <v>-0.233739681990875</v>
      </c>
    </row>
    <row r="42" customFormat="false" ht="12.75" hidden="false" customHeight="true" outlineLevel="0" collapsed="false">
      <c r="B42" s="1" t="n">
        <v>2.9</v>
      </c>
      <c r="C42" s="5" t="n">
        <f aca="false">10-20*(EXP(-0.19*B42)-EXP(-0.5*B42))</f>
        <v>3.16394278289841</v>
      </c>
      <c r="D42" s="5" t="n">
        <f aca="false">-20 * (-0.19*EXP(-0.19*B42) + 0.5*EXP(-0.5*B42))</f>
        <v>-0.155484914932243</v>
      </c>
    </row>
    <row r="43" customFormat="false" ht="12.75" hidden="false" customHeight="true" outlineLevel="0" collapsed="false">
      <c r="B43" s="1" t="n">
        <v>3</v>
      </c>
      <c r="C43" s="5" t="n">
        <f aca="false">10-20*(EXP(-0.19*B43)-EXP(-0.5*B43))</f>
        <v>3.15209442897785</v>
      </c>
      <c r="D43" s="5" t="n">
        <f aca="false">-20 * (-0.19*EXP(-0.19*B43) + 0.5*EXP(-0.5*B43))</f>
        <v>-0.0823049344260574</v>
      </c>
    </row>
    <row r="44" customFormat="false" ht="12.75" hidden="false" customHeight="true" outlineLevel="0" collapsed="false">
      <c r="B44" s="6" t="n">
        <v>3.1</v>
      </c>
      <c r="C44" s="7" t="n">
        <f aca="false">10-20*(EXP(-0.19*B44)-EXP(-0.5*B44))</f>
        <v>3.14732169102896</v>
      </c>
      <c r="D44" s="7" t="n">
        <f aca="false">-20 * (-0.19*EXP(-0.19*B44) + 0.5*EXP(-0.5*B44))</f>
        <v>-0.0139285590213101</v>
      </c>
    </row>
    <row r="45" customFormat="false" ht="12.75" hidden="false" customHeight="true" outlineLevel="0" collapsed="false">
      <c r="B45" s="6" t="n">
        <v>3.2</v>
      </c>
      <c r="C45" s="7" t="n">
        <f aca="false">10-20*(EXP(-0.19*B45)-EXP(-0.5*B45))</f>
        <v>3.14915719510877</v>
      </c>
      <c r="D45" s="7" t="n">
        <f aca="false">-20 * (-0.19*EXP(-0.19*B45) + 0.5*EXP(-0.5*B45))</f>
        <v>0.0499017213624711</v>
      </c>
    </row>
    <row r="46" customFormat="false" ht="12.75" hidden="false" customHeight="true" outlineLevel="0" collapsed="false">
      <c r="B46" s="1" t="n">
        <v>3.3</v>
      </c>
      <c r="C46" s="5" t="n">
        <f aca="false">10-20*(EXP(-0.19*B46)-EXP(-0.5*B46))</f>
        <v>3.1571586629854</v>
      </c>
      <c r="D46" s="5" t="n">
        <f aca="false">-20 * (-0.19*EXP(-0.19*B46) + 0.5*EXP(-0.5*B46))</f>
        <v>0.109430420584098</v>
      </c>
    </row>
    <row r="47" customFormat="false" ht="12.75" hidden="false" customHeight="true" outlineLevel="0" collapsed="false">
      <c r="B47" s="1" t="n">
        <v>3.4</v>
      </c>
      <c r="C47" s="5" t="n">
        <f aca="false">10-20*(EXP(-0.19*B47)-EXP(-0.5*B47))</f>
        <v>3.17090764488798</v>
      </c>
      <c r="D47" s="5" t="n">
        <f aca="false">-20 * (-0.19*EXP(-0.19*B47) + 0.5*EXP(-0.5*B47))</f>
        <v>0.164889698344328</v>
      </c>
    </row>
    <row r="48" customFormat="false" ht="12.75" hidden="false" customHeight="true" outlineLevel="0" collapsed="false">
      <c r="B48" s="1" t="n">
        <v>3.5</v>
      </c>
      <c r="C48" s="5" t="n">
        <f aca="false">10-20*(EXP(-0.19*B48)-EXP(-0.5*B48))</f>
        <v>3.19000831487626</v>
      </c>
      <c r="D48" s="5" t="n">
        <f aca="false">-20 * (-0.19*EXP(-0.19*B48) + 0.5*EXP(-0.5*B48))</f>
        <v>0.21649997078075</v>
      </c>
    </row>
    <row r="49" customFormat="false" ht="12.75" hidden="false" customHeight="true" outlineLevel="0" collapsed="false">
      <c r="B49" s="1" t="n">
        <v>3.6</v>
      </c>
      <c r="C49" s="5" t="n">
        <f aca="false">10-20*(EXP(-0.19*B49)-EXP(-0.5*B49))</f>
        <v>3.21408632576071</v>
      </c>
      <c r="D49" s="5" t="n">
        <f aca="false">-20 * (-0.19*EXP(-0.19*B49) + 0.5*EXP(-0.5*B49))</f>
        <v>0.264470491131629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2" min="1" style="1" width="4.5"/>
    <col collapsed="false" customWidth="false" hidden="false" outlineLevel="0" max="6" min="3" style="1" width="10.7"/>
    <col collapsed="false" customWidth="false" hidden="false" outlineLevel="0" max="8" min="7" style="2" width="10.7"/>
    <col collapsed="false" customWidth="false" hidden="false" outlineLevel="0" max="16384" min="9" style="1" width="10.7"/>
  </cols>
  <sheetData>
    <row r="2" customFormat="false" ht="12.8" hidden="false" customHeight="false" outlineLevel="0" collapsed="false">
      <c r="B2" s="3" t="s">
        <v>6</v>
      </c>
      <c r="C2" s="3"/>
    </row>
    <row r="4" customFormat="false" ht="12.8" hidden="false" customHeight="false" outlineLevel="0" collapsed="false"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</row>
    <row r="5" customFormat="false" ht="12.8" hidden="false" customHeight="false" outlineLevel="0" collapsed="false">
      <c r="B5" s="9" t="n">
        <v>0</v>
      </c>
      <c r="C5" s="10" t="n">
        <v>0</v>
      </c>
      <c r="D5" s="10" t="n">
        <v>3</v>
      </c>
      <c r="E5" s="5" t="n">
        <f aca="false">2-20*(EXP(-0.19*C5)-EXP(-0.5*C5))</f>
        <v>2</v>
      </c>
      <c r="F5" s="5" t="n">
        <f aca="false">2-20*(EXP(-0.19*D5)-EXP(-0.5*D5))</f>
        <v>-4.84790557102215</v>
      </c>
      <c r="G5" s="10" t="n">
        <f aca="false">C5+0.5*(D5-C5)</f>
        <v>1.5</v>
      </c>
      <c r="H5" s="5" t="n">
        <f aca="false">2-20*(EXP(-0.19*G5)-EXP(-0.5*G5))</f>
        <v>-3.59295403156736</v>
      </c>
      <c r="I5" s="10" t="n">
        <f aca="false">E5*H5</f>
        <v>-7.18590806313472</v>
      </c>
      <c r="J5" s="10" t="n">
        <f aca="false">D5-C5</f>
        <v>3</v>
      </c>
      <c r="K5" s="10" t="n">
        <f aca="false">ABS((G5-0)/G5)*100</f>
        <v>100</v>
      </c>
    </row>
    <row r="6" customFormat="false" ht="12.8" hidden="false" customHeight="false" outlineLevel="0" collapsed="false">
      <c r="B6" s="9" t="n">
        <v>1</v>
      </c>
      <c r="C6" s="10" t="n">
        <f aca="false">IF(I5&lt;0,C5,G5)</f>
        <v>0</v>
      </c>
      <c r="D6" s="10" t="n">
        <f aca="false">IF(I5&lt;0,G5,D5)</f>
        <v>1.5</v>
      </c>
      <c r="E6" s="5" t="n">
        <f aca="false">2-20*(EXP(-0.19*C6)-EXP(-0.5*C6))</f>
        <v>2</v>
      </c>
      <c r="F6" s="5" t="n">
        <f aca="false">2-20*(EXP(-0.19*D6)-EXP(-0.5*D6))</f>
        <v>-3.59295403156736</v>
      </c>
      <c r="G6" s="10" t="n">
        <f aca="false">C6+0.5*(D6-C6)</f>
        <v>0.75</v>
      </c>
      <c r="H6" s="5" t="n">
        <f aca="false">2-20*(EXP(-0.19*G6)-EXP(-0.5*G6))</f>
        <v>-1.59796551002565</v>
      </c>
      <c r="I6" s="10" t="n">
        <f aca="false">E6*H6</f>
        <v>-3.19593102005131</v>
      </c>
      <c r="J6" s="10" t="n">
        <f aca="false">D6-C6</f>
        <v>1.5</v>
      </c>
      <c r="K6" s="10" t="n">
        <f aca="false">ABS((G6-G5)/G6)*100</f>
        <v>100</v>
      </c>
    </row>
    <row r="7" customFormat="false" ht="12.8" hidden="false" customHeight="false" outlineLevel="0" collapsed="false">
      <c r="B7" s="9" t="n">
        <v>2</v>
      </c>
      <c r="C7" s="10" t="n">
        <f aca="false">IF(I6&lt;0,C6,G6)</f>
        <v>0</v>
      </c>
      <c r="D7" s="10" t="n">
        <f aca="false">IF(I6&lt;0,G6,D6)</f>
        <v>0.75</v>
      </c>
      <c r="E7" s="5" t="n">
        <f aca="false">2-20*(EXP(-0.19*C7)-EXP(-0.5*C7))</f>
        <v>2</v>
      </c>
      <c r="F7" s="5" t="n">
        <f aca="false">2-20*(EXP(-0.19*D7)-EXP(-0.5*D7))</f>
        <v>-1.59796551002565</v>
      </c>
      <c r="G7" s="10" t="n">
        <f aca="false">C7+0.5*(D7-C7)</f>
        <v>0.375</v>
      </c>
      <c r="H7" s="5" t="n">
        <f aca="false">2-20*(EXP(-0.19*G7)-EXP(-0.5*G7))</f>
        <v>-0.0439987515983682</v>
      </c>
      <c r="I7" s="10" t="n">
        <f aca="false">E7*H7</f>
        <v>-0.0879975031967364</v>
      </c>
      <c r="J7" s="10" t="n">
        <f aca="false">D7-C7</f>
        <v>0.75</v>
      </c>
      <c r="K7" s="10" t="n">
        <f aca="false">ABS((G7-G6)/G7)*100</f>
        <v>100</v>
      </c>
    </row>
    <row r="8" customFormat="false" ht="12.8" hidden="false" customHeight="false" outlineLevel="0" collapsed="false">
      <c r="B8" s="9" t="n">
        <v>3</v>
      </c>
      <c r="C8" s="10" t="n">
        <f aca="false">IF(I7&lt;0,C7,G7)</f>
        <v>0</v>
      </c>
      <c r="D8" s="10" t="n">
        <f aca="false">IF(I7&lt;0,G7,D7)</f>
        <v>0.375</v>
      </c>
      <c r="E8" s="5" t="n">
        <f aca="false">2-20*(EXP(-0.19*C8)-EXP(-0.5*C8))</f>
        <v>2</v>
      </c>
      <c r="F8" s="5" t="n">
        <f aca="false">2-20*(EXP(-0.19*D8)-EXP(-0.5*D8))</f>
        <v>-0.0439987515983682</v>
      </c>
      <c r="G8" s="10" t="n">
        <f aca="false">C8+0.5*(D8-C8)</f>
        <v>0.1875</v>
      </c>
      <c r="H8" s="5" t="n">
        <f aca="false">2-20*(EXP(-0.19*G8)-EXP(-0.5*G8))</f>
        <v>0.910165199042106</v>
      </c>
      <c r="I8" s="10" t="n">
        <f aca="false">E8*H8</f>
        <v>1.82033039808421</v>
      </c>
      <c r="J8" s="10" t="n">
        <f aca="false">D8-C8</f>
        <v>0.375</v>
      </c>
      <c r="K8" s="10" t="n">
        <f aca="false">ABS((G8-G7)/G8)*100</f>
        <v>100</v>
      </c>
    </row>
    <row r="9" customFormat="false" ht="12.8" hidden="false" customHeight="false" outlineLevel="0" collapsed="false">
      <c r="B9" s="9" t="n">
        <v>4</v>
      </c>
      <c r="C9" s="10" t="n">
        <f aca="false">IF(I8&lt;0,C8,G8)</f>
        <v>0.1875</v>
      </c>
      <c r="D9" s="10" t="n">
        <f aca="false">IF(I8&lt;0,G8,D8)</f>
        <v>0.375</v>
      </c>
      <c r="E9" s="5" t="n">
        <f aca="false">2-20*(EXP(-0.19*C9)-EXP(-0.5*C9))</f>
        <v>0.910165199042106</v>
      </c>
      <c r="F9" s="5" t="n">
        <f aca="false">2-20*(EXP(-0.19*D9)-EXP(-0.5*D9))</f>
        <v>-0.0439987515983682</v>
      </c>
      <c r="G9" s="10" t="n">
        <f aca="false">C9+0.5*(D9-C9)</f>
        <v>0.28125</v>
      </c>
      <c r="H9" s="5" t="n">
        <f aca="false">2-20*(EXP(-0.19*G9)-EXP(-0.5*G9))</f>
        <v>0.416997385726199</v>
      </c>
      <c r="I9" s="10" t="n">
        <f aca="false">E9*H9</f>
        <v>0.379536508579524</v>
      </c>
      <c r="J9" s="10" t="n">
        <f aca="false">D9-C9</f>
        <v>0.1875</v>
      </c>
      <c r="K9" s="10" t="n">
        <f aca="false">ABS((G9-G8)/G9)*100</f>
        <v>33.3333333333333</v>
      </c>
    </row>
    <row r="10" customFormat="false" ht="12.8" hidden="false" customHeight="false" outlineLevel="0" collapsed="false">
      <c r="B10" s="9" t="n">
        <v>5</v>
      </c>
      <c r="C10" s="10" t="n">
        <f aca="false">IF(I9&lt;0,C9,G9)</f>
        <v>0.28125</v>
      </c>
      <c r="D10" s="10" t="n">
        <f aca="false">IF(I9&lt;0,G9,D9)</f>
        <v>0.375</v>
      </c>
      <c r="E10" s="5" t="n">
        <f aca="false">2-20*(EXP(-0.19*C10)-EXP(-0.5*C10))</f>
        <v>0.416997385726199</v>
      </c>
      <c r="F10" s="5" t="n">
        <f aca="false">2-20*(EXP(-0.19*D10)-EXP(-0.5*D10))</f>
        <v>-0.0439987515983682</v>
      </c>
      <c r="G10" s="10" t="n">
        <f aca="false">C10+0.5*(D10-C10)</f>
        <v>0.328125</v>
      </c>
      <c r="H10" s="5" t="n">
        <f aca="false">2-20*(EXP(-0.19*G10)-EXP(-0.5*G10))</f>
        <v>0.182582391778432</v>
      </c>
      <c r="I10" s="10" t="n">
        <f aca="false">E10*H10</f>
        <v>0.076136380051243</v>
      </c>
      <c r="J10" s="10" t="n">
        <f aca="false">D10-C10</f>
        <v>0.09375</v>
      </c>
      <c r="K10" s="10" t="n">
        <f aca="false">ABS((G10-G9)/G10)*100</f>
        <v>14.2857142857143</v>
      </c>
    </row>
    <row r="11" customFormat="false" ht="12.8" hidden="false" customHeight="false" outlineLevel="0" collapsed="false">
      <c r="B11" s="9" t="n">
        <v>6</v>
      </c>
      <c r="C11" s="10" t="n">
        <f aca="false">IF(I10&lt;0,C10,G10)</f>
        <v>0.328125</v>
      </c>
      <c r="D11" s="10" t="n">
        <f aca="false">IF(I10&lt;0,G10,D10)</f>
        <v>0.375</v>
      </c>
      <c r="E11" s="5" t="n">
        <f aca="false">2-20*(EXP(-0.19*C11)-EXP(-0.5*C11))</f>
        <v>0.182582391778432</v>
      </c>
      <c r="F11" s="5" t="n">
        <f aca="false">2-20*(EXP(-0.19*D11)-EXP(-0.5*D11))</f>
        <v>-0.0439987515983682</v>
      </c>
      <c r="G11" s="10" t="n">
        <f aca="false">C11+0.5*(D11-C11)</f>
        <v>0.3515625</v>
      </c>
      <c r="H11" s="5" t="n">
        <f aca="false">2-20*(EXP(-0.19*G11)-EXP(-0.5*G11))</f>
        <v>0.0683253786132148</v>
      </c>
      <c r="I11" s="10" t="n">
        <f aca="false">E11*H11</f>
        <v>0.0124750110463677</v>
      </c>
      <c r="J11" s="10" t="n">
        <f aca="false">D11-C11</f>
        <v>0.046875</v>
      </c>
      <c r="K11" s="10" t="n">
        <f aca="false">ABS((G11-G10)/G11)*100</f>
        <v>6.66666666666667</v>
      </c>
    </row>
    <row r="12" customFormat="false" ht="12.8" hidden="false" customHeight="false" outlineLevel="0" collapsed="false">
      <c r="B12" s="9" t="n">
        <v>7</v>
      </c>
      <c r="C12" s="10" t="n">
        <f aca="false">IF(I11&lt;0,C11,G11)</f>
        <v>0.3515625</v>
      </c>
      <c r="D12" s="10" t="n">
        <f aca="false">IF(I11&lt;0,G11,D11)</f>
        <v>0.375</v>
      </c>
      <c r="E12" s="5" t="n">
        <f aca="false">2-20*(EXP(-0.19*C12)-EXP(-0.5*C12))</f>
        <v>0.0683253786132148</v>
      </c>
      <c r="F12" s="5" t="n">
        <f aca="false">2-20*(EXP(-0.19*D12)-EXP(-0.5*D12))</f>
        <v>-0.0439987515983682</v>
      </c>
      <c r="G12" s="10" t="n">
        <f aca="false">C12+0.5*(D12-C12)</f>
        <v>0.36328125</v>
      </c>
      <c r="H12" s="5" t="n">
        <f aca="false">2-20*(EXP(-0.19*G12)-EXP(-0.5*G12))</f>
        <v>0.0119232848676814</v>
      </c>
      <c r="I12" s="10" t="n">
        <f aca="false">E12*H12</f>
        <v>0.000814662952897542</v>
      </c>
      <c r="J12" s="10" t="n">
        <f aca="false">D12-C12</f>
        <v>0.0234375</v>
      </c>
      <c r="K12" s="10" t="n">
        <f aca="false">ABS((G12-G11)/G12)*100</f>
        <v>3.2258064516129</v>
      </c>
    </row>
    <row r="13" customFormat="false" ht="12.8" hidden="false" customHeight="false" outlineLevel="0" collapsed="false">
      <c r="B13" s="9" t="n">
        <v>8</v>
      </c>
      <c r="C13" s="10" t="n">
        <f aca="false">IF(I12&lt;0,C12,G12)</f>
        <v>0.36328125</v>
      </c>
      <c r="D13" s="10" t="n">
        <f aca="false">IF(I12&lt;0,G12,D12)</f>
        <v>0.375</v>
      </c>
      <c r="E13" s="5" t="n">
        <f aca="false">2-20*(EXP(-0.19*C13)-EXP(-0.5*C13))</f>
        <v>0.0119232848676814</v>
      </c>
      <c r="F13" s="5" t="n">
        <f aca="false">2-20*(EXP(-0.19*D13)-EXP(-0.5*D13))</f>
        <v>-0.0439987515983682</v>
      </c>
      <c r="G13" s="10" t="n">
        <f aca="false">C13+0.5*(D13-C13)</f>
        <v>0.369140625</v>
      </c>
      <c r="H13" s="5" t="n">
        <f aca="false">2-20*(EXP(-0.19*G13)-EXP(-0.5*G13))</f>
        <v>-0.016097543862212</v>
      </c>
      <c r="I13" s="10" t="n">
        <f aca="false">E13*H13</f>
        <v>-0.000191935601139149</v>
      </c>
      <c r="J13" s="10" t="n">
        <f aca="false">D13-C13</f>
        <v>0.01171875</v>
      </c>
      <c r="K13" s="10" t="n">
        <f aca="false">ABS((G13-G12)/G13)*100</f>
        <v>1.58730158730159</v>
      </c>
    </row>
    <row r="14" customFormat="false" ht="12.8" hidden="false" customHeight="false" outlineLevel="0" collapsed="false">
      <c r="B14" s="9" t="n">
        <v>9</v>
      </c>
      <c r="C14" s="10" t="n">
        <f aca="false">IF(I13&lt;0,C13,G13)</f>
        <v>0.36328125</v>
      </c>
      <c r="D14" s="10" t="n">
        <f aca="false">IF(I13&lt;0,G13,D13)</f>
        <v>0.369140625</v>
      </c>
      <c r="E14" s="5" t="n">
        <f aca="false">2-20*(EXP(-0.19*C14)-EXP(-0.5*C14))</f>
        <v>0.0119232848676814</v>
      </c>
      <c r="F14" s="5" t="n">
        <f aca="false">2-20*(EXP(-0.19*D14)-EXP(-0.5*D14))</f>
        <v>-0.016097543862212</v>
      </c>
      <c r="G14" s="10" t="n">
        <f aca="false">C14+0.5*(D14-C14)</f>
        <v>0.3662109375</v>
      </c>
      <c r="H14" s="5" t="n">
        <f aca="false">2-20*(EXP(-0.19*G14)-EXP(-0.5*G14))</f>
        <v>-0.00210210665753285</v>
      </c>
      <c r="I14" s="10" t="n">
        <f aca="false">E14*H14</f>
        <v>-2.50640165000137E-005</v>
      </c>
      <c r="J14" s="10" t="n">
        <f aca="false">D14-C14</f>
        <v>0.005859375</v>
      </c>
      <c r="K14" s="10" t="n">
        <f aca="false">ABS((G14-G13)/G14)*100</f>
        <v>0.8</v>
      </c>
    </row>
    <row r="15" customFormat="false" ht="12.8" hidden="false" customHeight="false" outlineLevel="0" collapsed="false">
      <c r="B15" s="9" t="n">
        <v>10</v>
      </c>
      <c r="C15" s="10" t="n">
        <f aca="false">IF(I14&lt;0,C14,G14)</f>
        <v>0.36328125</v>
      </c>
      <c r="D15" s="10" t="n">
        <f aca="false">IF(I14&lt;0,G14,D14)</f>
        <v>0.3662109375</v>
      </c>
      <c r="E15" s="5" t="n">
        <f aca="false">2-20*(EXP(-0.19*C15)-EXP(-0.5*C15))</f>
        <v>0.0119232848676814</v>
      </c>
      <c r="F15" s="5" t="n">
        <f aca="false">2-20*(EXP(-0.19*D15)-EXP(-0.5*D15))</f>
        <v>-0.00210210665753285</v>
      </c>
      <c r="G15" s="10" t="n">
        <f aca="false">C15+0.5*(D15-C15)</f>
        <v>0.36474609375</v>
      </c>
      <c r="H15" s="5" t="n">
        <f aca="false">2-20*(EXP(-0.19*G15)-EXP(-0.5*G15))</f>
        <v>0.00490684174391065</v>
      </c>
      <c r="I15" s="10" t="n">
        <f aca="false">E15*H15</f>
        <v>5.8505671913277E-005</v>
      </c>
      <c r="J15" s="10" t="n">
        <f aca="false">D15-C15</f>
        <v>0.0029296875</v>
      </c>
      <c r="K15" s="10" t="n">
        <f aca="false">ABS((G15-G14)/G15)*100</f>
        <v>0.401606425702811</v>
      </c>
    </row>
    <row r="16" customFormat="false" ht="12.8" hidden="false" customHeight="false" outlineLevel="0" collapsed="false">
      <c r="B16" s="9" t="n">
        <v>11</v>
      </c>
      <c r="C16" s="10" t="n">
        <f aca="false">IF(I15&lt;0,C15,G15)</f>
        <v>0.36474609375</v>
      </c>
      <c r="D16" s="10" t="n">
        <f aca="false">IF(I15&lt;0,G15,D15)</f>
        <v>0.3662109375</v>
      </c>
      <c r="E16" s="5" t="n">
        <f aca="false">2-20*(EXP(-0.19*C16)-EXP(-0.5*C16))</f>
        <v>0.00490684174391065</v>
      </c>
      <c r="F16" s="5" t="n">
        <f aca="false">2-20*(EXP(-0.19*D16)-EXP(-0.5*D16))</f>
        <v>-0.00210210665753285</v>
      </c>
      <c r="G16" s="10" t="n">
        <f aca="false">C16+0.5*(D16-C16)</f>
        <v>0.365478515625</v>
      </c>
      <c r="H16" s="5" t="n">
        <f aca="false">2-20*(EXP(-0.19*G16)-EXP(-0.5*G16))</f>
        <v>0.00140143108696744</v>
      </c>
      <c r="I16" s="10" t="n">
        <f aca="false">E16*H16</f>
        <v>6.87660055874592E-006</v>
      </c>
      <c r="J16" s="10" t="n">
        <f aca="false">D16-C16</f>
        <v>0.00146484375</v>
      </c>
      <c r="K16" s="10" t="n">
        <f aca="false">ABS((G16-G15)/G16)*100</f>
        <v>0.200400801603206</v>
      </c>
    </row>
    <row r="17" customFormat="false" ht="12.8" hidden="false" customHeight="false" outlineLevel="0" collapsed="false">
      <c r="B17" s="9" t="n">
        <v>12</v>
      </c>
      <c r="C17" s="10" t="n">
        <f aca="false">IF(I16&lt;0,C16,G16)</f>
        <v>0.365478515625</v>
      </c>
      <c r="D17" s="10" t="n">
        <f aca="false">IF(I16&lt;0,G16,D16)</f>
        <v>0.3662109375</v>
      </c>
      <c r="E17" s="5" t="n">
        <f aca="false">2-20*(EXP(-0.19*C17)-EXP(-0.5*C17))</f>
        <v>0.00140143108696744</v>
      </c>
      <c r="F17" s="5" t="n">
        <f aca="false">2-20*(EXP(-0.19*D17)-EXP(-0.5*D17))</f>
        <v>-0.00210210665753285</v>
      </c>
      <c r="G17" s="10" t="n">
        <f aca="false">C17+0.5*(D17-C17)</f>
        <v>0.3658447265625</v>
      </c>
      <c r="H17" s="5" t="n">
        <f aca="false">2-20*(EXP(-0.19*G17)-EXP(-0.5*G17))</f>
        <v>-0.000350571851345904</v>
      </c>
      <c r="I17" s="10" t="n">
        <f aca="false">E17*H17</f>
        <v>-4.91302290691879E-007</v>
      </c>
      <c r="J17" s="10" t="n">
        <f aca="false">D17-C17</f>
        <v>0.000732421875</v>
      </c>
      <c r="K17" s="10" t="n">
        <f aca="false">ABS((G17-G16)/G17)*100</f>
        <v>0.1001001001001</v>
      </c>
    </row>
    <row r="18" customFormat="false" ht="12.8" hidden="false" customHeight="false" outlineLevel="0" collapsed="false">
      <c r="B18" s="9" t="n">
        <v>13</v>
      </c>
      <c r="C18" s="10" t="n">
        <f aca="false">IF(I17&lt;0,C17,G17)</f>
        <v>0.365478515625</v>
      </c>
      <c r="D18" s="10" t="n">
        <f aca="false">IF(I17&lt;0,G17,D17)</f>
        <v>0.3658447265625</v>
      </c>
      <c r="E18" s="5" t="n">
        <f aca="false">2-20*(EXP(-0.19*C18)-EXP(-0.5*C18))</f>
        <v>0.00140143108696744</v>
      </c>
      <c r="F18" s="5" t="n">
        <f aca="false">2-20*(EXP(-0.19*D18)-EXP(-0.5*D18))</f>
        <v>-0.000350571851345904</v>
      </c>
      <c r="G18" s="10" t="n">
        <f aca="false">C18+0.5*(D18-C18)</f>
        <v>0.36566162109375</v>
      </c>
      <c r="H18" s="5" t="n">
        <f aca="false">2-20*(EXP(-0.19*G18)-EXP(-0.5*G18))</f>
        <v>0.000525371095297267</v>
      </c>
      <c r="I18" s="10" t="n">
        <f aca="false">E18*H18</f>
        <v>7.36271385143724E-007</v>
      </c>
      <c r="J18" s="10" t="n">
        <f aca="false">D18-C18</f>
        <v>0.0003662109375</v>
      </c>
      <c r="K18" s="10" t="n">
        <f aca="false">ABS((G18-G17)/G18)*100</f>
        <v>0.0500751126690035</v>
      </c>
    </row>
    <row r="19" customFormat="false" ht="12.8" hidden="false" customHeight="false" outlineLevel="0" collapsed="false">
      <c r="B19" s="9" t="n">
        <v>14</v>
      </c>
      <c r="C19" s="10" t="n">
        <f aca="false">IF(I18&lt;0,C18,G18)</f>
        <v>0.36566162109375</v>
      </c>
      <c r="D19" s="10" t="n">
        <f aca="false">IF(I18&lt;0,G18,D18)</f>
        <v>0.3658447265625</v>
      </c>
      <c r="E19" s="5" t="n">
        <f aca="false">2-20*(EXP(-0.19*C19)-EXP(-0.5*C19))</f>
        <v>0.000525371095297267</v>
      </c>
      <c r="F19" s="5" t="n">
        <f aca="false">2-20*(EXP(-0.19*D19)-EXP(-0.5*D19))</f>
        <v>-0.000350571851345904</v>
      </c>
      <c r="G19" s="10" t="n">
        <f aca="false">C19+0.5*(D19-C19)</f>
        <v>0.365753173828125</v>
      </c>
      <c r="H19" s="5" t="n">
        <f aca="false">2-20*(EXP(-0.19*G19)-EXP(-0.5*G19))</f>
        <v>8.73849920983716E-005</v>
      </c>
      <c r="I19" s="10" t="n">
        <f aca="false">E19*H19</f>
        <v>4.59095490112645E-008</v>
      </c>
      <c r="J19" s="10" t="n">
        <f aca="false">D19-C19</f>
        <v>0.00018310546875</v>
      </c>
      <c r="K19" s="10" t="n">
        <f aca="false">ABS((G19-G18)/G19)*100</f>
        <v>0.0250312891113892</v>
      </c>
    </row>
    <row r="20" customFormat="false" ht="12.8" hidden="false" customHeight="false" outlineLevel="0" collapsed="false">
      <c r="B20" s="9" t="n">
        <v>15</v>
      </c>
      <c r="C20" s="10" t="n">
        <f aca="false">IF(I19&lt;0,C19,G19)</f>
        <v>0.365753173828125</v>
      </c>
      <c r="D20" s="10" t="n">
        <f aca="false">IF(I19&lt;0,G19,D19)</f>
        <v>0.3658447265625</v>
      </c>
      <c r="E20" s="5" t="n">
        <f aca="false">2-20*(EXP(-0.19*C20)-EXP(-0.5*C20))</f>
        <v>8.73849920983716E-005</v>
      </c>
      <c r="F20" s="5" t="n">
        <f aca="false">2-20*(EXP(-0.19*D20)-EXP(-0.5*D20))</f>
        <v>-0.000350571851345904</v>
      </c>
      <c r="G20" s="10" t="n">
        <f aca="false">C20+0.5*(D20-C20)</f>
        <v>0.365798950195313</v>
      </c>
      <c r="H20" s="5" t="n">
        <f aca="false">2-20*(EXP(-0.19*G20)-EXP(-0.5*G20))</f>
        <v>-0.00013159708700039</v>
      </c>
      <c r="I20" s="10" t="n">
        <f aca="false">E20*H20</f>
        <v>-1.14996104076978E-008</v>
      </c>
      <c r="J20" s="10" t="n">
        <f aca="false">D20-C20</f>
        <v>9.1552734375E-005</v>
      </c>
      <c r="K20" s="10" t="n">
        <f aca="false">ABS((G20-G19)/G20)*100</f>
        <v>0.0125140783381304</v>
      </c>
    </row>
    <row r="21" customFormat="false" ht="12.8" hidden="false" customHeight="false" outlineLevel="0" collapsed="false">
      <c r="B21" s="9" t="n">
        <v>16</v>
      </c>
      <c r="C21" s="10" t="n">
        <f aca="false">IF(I20&lt;0,C20,G20)</f>
        <v>0.365753173828125</v>
      </c>
      <c r="D21" s="10" t="n">
        <f aca="false">IF(I20&lt;0,G20,D20)</f>
        <v>0.365798950195313</v>
      </c>
      <c r="E21" s="5" t="n">
        <f aca="false">2-20*(EXP(-0.19*C21)-EXP(-0.5*C21))</f>
        <v>8.73849920983716E-005</v>
      </c>
      <c r="F21" s="5" t="n">
        <f aca="false">2-20*(EXP(-0.19*D21)-EXP(-0.5*D21))</f>
        <v>-0.00013159708700039</v>
      </c>
      <c r="G21" s="10" t="n">
        <f aca="false">C21+0.5*(D21-C21)</f>
        <v>0.365776062011719</v>
      </c>
      <c r="H21" s="5" t="n">
        <f aca="false">2-20*(EXP(-0.19*G21)-EXP(-0.5*G21))</f>
        <v>-2.21069618073777E-005</v>
      </c>
      <c r="I21" s="10" t="n">
        <f aca="false">E21*H21</f>
        <v>-1.9318166828567E-009</v>
      </c>
      <c r="J21" s="10" t="n">
        <f aca="false">D21-C21</f>
        <v>4.57763671875E-005</v>
      </c>
      <c r="K21" s="10" t="n">
        <f aca="false">ABS((G21-G20)/G21)*100</f>
        <v>0.00625743069895501</v>
      </c>
    </row>
    <row r="22" customFormat="false" ht="12.8" hidden="false" customHeight="false" outlineLevel="0" collapsed="false">
      <c r="B22" s="9" t="n">
        <v>17</v>
      </c>
      <c r="C22" s="10" t="n">
        <f aca="false">IF(I21&lt;0,C21,G21)</f>
        <v>0.365753173828125</v>
      </c>
      <c r="D22" s="10" t="n">
        <f aca="false">IF(I21&lt;0,G21,D21)</f>
        <v>0.365776062011719</v>
      </c>
      <c r="E22" s="5" t="n">
        <f aca="false">2-20*(EXP(-0.19*C22)-EXP(-0.5*C22))</f>
        <v>8.73849920983716E-005</v>
      </c>
      <c r="F22" s="5" t="n">
        <f aca="false">2-20*(EXP(-0.19*D22)-EXP(-0.5*D22))</f>
        <v>-2.21069618073777E-005</v>
      </c>
      <c r="G22" s="10" t="n">
        <f aca="false">C22+0.5*(D22-C22)</f>
        <v>0.365764617919922</v>
      </c>
      <c r="H22" s="5" t="n">
        <f aca="false">2-20*(EXP(-0.19*G22)-EXP(-0.5*G22))</f>
        <v>3.26387865539068E-005</v>
      </c>
      <c r="I22" s="10" t="n">
        <f aca="false">E22*H22</f>
        <v>2.85214010511359E-009</v>
      </c>
      <c r="J22" s="10" t="n">
        <f aca="false">D22-C22</f>
        <v>2.288818359375E-005</v>
      </c>
      <c r="K22" s="10" t="n">
        <f aca="false">ABS((G22-G21)/G22)*100</f>
        <v>0.00312881324113764</v>
      </c>
    </row>
    <row r="23" customFormat="false" ht="12.8" hidden="false" customHeight="false" outlineLevel="0" collapsed="false">
      <c r="B23" s="9" t="n">
        <v>18</v>
      </c>
      <c r="C23" s="10" t="n">
        <f aca="false">IF(I22&lt;0,C22,G22)</f>
        <v>0.365764617919922</v>
      </c>
      <c r="D23" s="10" t="n">
        <f aca="false">IF(I22&lt;0,G22,D22)</f>
        <v>0.365776062011719</v>
      </c>
      <c r="E23" s="5" t="n">
        <f aca="false">2-20*(EXP(-0.19*C23)-EXP(-0.5*C23))</f>
        <v>3.26387865539068E-005</v>
      </c>
      <c r="F23" s="5" t="n">
        <f aca="false">2-20*(EXP(-0.19*D23)-EXP(-0.5*D23))</f>
        <v>-2.21069618073777E-005</v>
      </c>
      <c r="G23" s="10" t="n">
        <f aca="false">C23+0.5*(D23-C23)</f>
        <v>0.36577033996582</v>
      </c>
      <c r="H23" s="5" t="n">
        <f aca="false">2-20*(EXP(-0.19*G23)-EXP(-0.5*G23))</f>
        <v>5.2658552256446E-006</v>
      </c>
      <c r="I23" s="10" t="n">
        <f aca="false">E23*H23</f>
        <v>1.71871124733589E-010</v>
      </c>
      <c r="J23" s="10" t="n">
        <f aca="false">D23-C23</f>
        <v>1.1444091796875E-005</v>
      </c>
      <c r="K23" s="10" t="n">
        <f aca="false">ABS((G23-G22)/G23)*100</f>
        <v>0.00156438214727094</v>
      </c>
    </row>
    <row r="24" customFormat="false" ht="12.8" hidden="false" customHeight="false" outlineLevel="0" collapsed="false">
      <c r="B24" s="9" t="n">
        <v>19</v>
      </c>
      <c r="C24" s="10" t="n">
        <f aca="false">IF(I23&lt;0,C23,G23)</f>
        <v>0.36577033996582</v>
      </c>
      <c r="D24" s="10" t="n">
        <f aca="false">IF(I23&lt;0,G23,D23)</f>
        <v>0.365776062011719</v>
      </c>
      <c r="E24" s="5" t="n">
        <f aca="false">2-20*(EXP(-0.19*C24)-EXP(-0.5*C24))</f>
        <v>5.2658552256446E-006</v>
      </c>
      <c r="F24" s="5" t="n">
        <f aca="false">2-20*(EXP(-0.19*D24)-EXP(-0.5*D24))</f>
        <v>-2.21069618073777E-005</v>
      </c>
      <c r="G24" s="10" t="n">
        <f aca="false">C24+0.5*(D24-C24)</f>
        <v>0.36577320098877</v>
      </c>
      <c r="H24" s="5" t="n">
        <f aca="false">2-20*(EXP(-0.19*G24)-EXP(-0.5*G24))</f>
        <v>-8.42056757832665E-006</v>
      </c>
      <c r="I24" s="10" t="n">
        <f aca="false">E24*H24</f>
        <v>-4.43414897852249E-011</v>
      </c>
      <c r="J24" s="10" t="n">
        <f aca="false">D24-C24</f>
        <v>5.7220458984375E-006</v>
      </c>
      <c r="K24" s="10" t="n">
        <f aca="false">ABS((G24-G23)/G24)*100</f>
        <v>0.000782184955454567</v>
      </c>
    </row>
    <row r="25" customFormat="false" ht="12.8" hidden="false" customHeight="false" outlineLevel="0" collapsed="false">
      <c r="B25" s="9" t="n">
        <v>20</v>
      </c>
      <c r="C25" s="10" t="n">
        <f aca="false">IF(I24&lt;0,C24,G24)</f>
        <v>0.36577033996582</v>
      </c>
      <c r="D25" s="10" t="n">
        <f aca="false">IF(I24&lt;0,G24,D24)</f>
        <v>0.36577320098877</v>
      </c>
      <c r="E25" s="5" t="n">
        <f aca="false">2-20*(EXP(-0.19*C25)-EXP(-0.5*C25))</f>
        <v>5.2658552256446E-006</v>
      </c>
      <c r="F25" s="5" t="n">
        <f aca="false">2-20*(EXP(-0.19*D25)-EXP(-0.5*D25))</f>
        <v>-8.42056757832665E-006</v>
      </c>
      <c r="G25" s="10" t="n">
        <f aca="false">C25+0.5*(D25-C25)</f>
        <v>0.365771770477295</v>
      </c>
      <c r="H25" s="5" t="n">
        <f aca="false">2-20*(EXP(-0.19*G25)-EXP(-0.5*G25))</f>
        <v>-1.57735974681827E-006</v>
      </c>
      <c r="I25" s="10" t="n">
        <f aca="false">E25*H25</f>
        <v>-8.30614806550445E-012</v>
      </c>
      <c r="J25" s="10" t="n">
        <f aca="false">D25-C25</f>
        <v>2.86102294921875E-006</v>
      </c>
      <c r="K25" s="10" t="n">
        <f aca="false">ABS((G25-G24)/G25)*100</f>
        <v>0.000391094007266527</v>
      </c>
    </row>
    <row r="26" customFormat="false" ht="12.8" hidden="false" customHeight="false" outlineLevel="0" collapsed="false">
      <c r="B26" s="9" t="n">
        <v>21</v>
      </c>
      <c r="C26" s="10" t="n">
        <f aca="false">IF(I25&lt;0,C25,G25)</f>
        <v>0.36577033996582</v>
      </c>
      <c r="D26" s="10" t="n">
        <f aca="false">IF(I25&lt;0,G25,D25)</f>
        <v>0.365771770477295</v>
      </c>
      <c r="E26" s="5" t="n">
        <f aca="false">2-20*(EXP(-0.19*C26)-EXP(-0.5*C26))</f>
        <v>5.2658552256446E-006</v>
      </c>
      <c r="F26" s="5" t="n">
        <f aca="false">2-20*(EXP(-0.19*D26)-EXP(-0.5*D26))</f>
        <v>-1.57735974681827E-006</v>
      </c>
      <c r="G26" s="10" t="n">
        <f aca="false">C26+0.5*(D26-C26)</f>
        <v>0.365771055221558</v>
      </c>
      <c r="H26" s="5" t="n">
        <f aca="false">2-20*(EXP(-0.19*G26)-EXP(-0.5*G26))</f>
        <v>1.84424684679385E-006</v>
      </c>
      <c r="I26" s="10" t="n">
        <f aca="false">E26*H26</f>
        <v>9.71153689556798E-012</v>
      </c>
      <c r="J26" s="10" t="n">
        <f aca="false">D26-C26</f>
        <v>1.43051147460938E-006</v>
      </c>
      <c r="K26" s="10" t="n">
        <f aca="false">ABS((G26-G25)/G26)*100</f>
        <v>0.000195547386020317</v>
      </c>
    </row>
    <row r="27" customFormat="false" ht="12.8" hidden="false" customHeight="false" outlineLevel="0" collapsed="false">
      <c r="B27" s="9" t="n">
        <v>22</v>
      </c>
      <c r="C27" s="10" t="n">
        <f aca="false">IF(I26&lt;0,C26,G26)</f>
        <v>0.365771055221558</v>
      </c>
      <c r="D27" s="10" t="n">
        <f aca="false">IF(I26&lt;0,G26,D26)</f>
        <v>0.365771770477295</v>
      </c>
      <c r="E27" s="5" t="n">
        <f aca="false">2-20*(EXP(-0.19*C27)-EXP(-0.5*C27))</f>
        <v>1.84424684679385E-006</v>
      </c>
      <c r="F27" s="5" t="n">
        <f aca="false">2-20*(EXP(-0.19*D27)-EXP(-0.5*D27))</f>
        <v>-1.57735974681827E-006</v>
      </c>
      <c r="G27" s="11" t="n">
        <f aca="false">C27+0.5*(D27-C27)</f>
        <v>0.365771412849426</v>
      </c>
      <c r="H27" s="5" t="n">
        <f aca="false">2-20*(EXP(-0.19*G27)-EXP(-0.5*G27))</f>
        <v>1.33443327943183E-007</v>
      </c>
      <c r="I27" s="10" t="n">
        <f aca="false">E27*H27</f>
        <v>2.46102436784894E-013</v>
      </c>
      <c r="J27" s="10" t="n">
        <f aca="false">D27-C27</f>
        <v>7.15255737304688E-007</v>
      </c>
      <c r="K27" s="10" t="n">
        <f aca="false">ABS((G27-G26)/G27)*100</f>
        <v>9.77735974133017E-005</v>
      </c>
    </row>
    <row r="28" customFormat="false" ht="12.8" hidden="false" customHeight="false" outlineLevel="0" collapsed="false">
      <c r="B28" s="9"/>
      <c r="C28" s="10"/>
      <c r="D28" s="10"/>
      <c r="E28" s="5"/>
      <c r="F28" s="5"/>
      <c r="G28" s="10"/>
      <c r="H28" s="5"/>
      <c r="I28" s="10"/>
      <c r="J28" s="10"/>
      <c r="K28" s="10"/>
    </row>
    <row r="29" customFormat="false" ht="12.8" hidden="false" customHeight="false" outlineLevel="0" collapsed="false">
      <c r="B29" s="9"/>
      <c r="C29" s="10"/>
      <c r="D29" s="10"/>
      <c r="E29" s="5"/>
      <c r="F29" s="5"/>
      <c r="G29" s="10"/>
      <c r="H29" s="5"/>
      <c r="I29" s="10"/>
      <c r="J29" s="10"/>
      <c r="K29" s="10"/>
    </row>
    <row r="30" customFormat="false" ht="12.8" hidden="false" customHeight="false" outlineLevel="0" collapsed="false">
      <c r="B30" s="9"/>
      <c r="C30" s="10"/>
      <c r="D30" s="10"/>
      <c r="E30" s="5"/>
      <c r="F30" s="5"/>
      <c r="G30" s="10"/>
      <c r="H30" s="5"/>
      <c r="I30" s="10"/>
      <c r="J30" s="10"/>
      <c r="K30" s="10"/>
    </row>
    <row r="31" customFormat="false" ht="12.8" hidden="false" customHeight="false" outlineLevel="0" collapsed="false">
      <c r="B31" s="9"/>
      <c r="C31" s="10"/>
      <c r="D31" s="10"/>
      <c r="E31" s="5"/>
      <c r="F31" s="5"/>
      <c r="G31" s="10"/>
      <c r="H31" s="5"/>
      <c r="I31" s="10"/>
      <c r="J31" s="10"/>
      <c r="K31" s="10"/>
    </row>
    <row r="32" customFormat="false" ht="12.8" hidden="false" customHeight="false" outlineLevel="0" collapsed="false">
      <c r="B32" s="9"/>
      <c r="C32" s="10"/>
      <c r="D32" s="10"/>
      <c r="E32" s="5"/>
      <c r="F32" s="5"/>
      <c r="G32" s="12"/>
      <c r="H32" s="5"/>
      <c r="I32" s="10"/>
      <c r="J32" s="10"/>
      <c r="K32" s="10"/>
    </row>
    <row r="33" customFormat="false" ht="12.8" hidden="false" customHeight="false" outlineLevel="0" collapsed="false">
      <c r="B33" s="9"/>
      <c r="C33" s="10"/>
      <c r="D33" s="10"/>
      <c r="E33" s="5"/>
      <c r="F33" s="5"/>
      <c r="G33" s="10"/>
      <c r="H33" s="5"/>
      <c r="I33" s="10"/>
      <c r="J33" s="10"/>
      <c r="K3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0.69921875" defaultRowHeight="13.8" zeroHeight="false" outlineLevelRow="0" outlineLevelCol="0"/>
  <cols>
    <col collapsed="false" customWidth="true" hidden="false" outlineLevel="0" max="1" min="1" style="1" width="4.5"/>
    <col collapsed="false" customWidth="false" hidden="false" outlineLevel="0" max="3" min="2" style="1" width="10.7"/>
    <col collapsed="false" customWidth="true" hidden="false" outlineLevel="0" max="4" min="4" style="1" width="4.5"/>
    <col collapsed="false" customWidth="false" hidden="false" outlineLevel="0" max="5" min="5" style="1" width="10.7"/>
    <col collapsed="false" customWidth="false" hidden="false" outlineLevel="0" max="6" min="6" style="2" width="10.7"/>
    <col collapsed="false" customWidth="true" hidden="false" outlineLevel="0" max="7" min="7" style="2" width="4.5"/>
    <col collapsed="false" customWidth="false" hidden="false" outlineLevel="0" max="9" min="8" style="1" width="10.7"/>
    <col collapsed="false" customWidth="true" hidden="false" outlineLevel="0" max="10" min="10" style="1" width="4.5"/>
    <col collapsed="false" customWidth="false" hidden="false" outlineLevel="0" max="16382" min="11" style="1" width="10.7"/>
    <col collapsed="false" customWidth="true" hidden="false" outlineLevel="0" max="16384" min="16383" style="13" width="10.16"/>
  </cols>
  <sheetData>
    <row r="1" customFormat="false" ht="12.75" hidden="false" customHeight="true" outlineLevel="0" collapsed="false">
      <c r="G1" s="1"/>
    </row>
    <row r="2" customFormat="false" ht="12.75" hidden="false" customHeight="true" outlineLevel="0" collapsed="false">
      <c r="B2" s="3" t="s">
        <v>17</v>
      </c>
      <c r="G2" s="1"/>
    </row>
    <row r="3" customFormat="false" ht="12.75" hidden="false" customHeight="true" outlineLevel="0" collapsed="false">
      <c r="G3" s="1"/>
    </row>
    <row r="4" customFormat="false" ht="12.75" hidden="false" customHeight="true" outlineLevel="0" collapsed="false">
      <c r="A4" s="2"/>
      <c r="B4" s="4" t="s">
        <v>18</v>
      </c>
      <c r="C4" s="4" t="s">
        <v>19</v>
      </c>
      <c r="D4" s="2"/>
      <c r="E4" s="4" t="s">
        <v>18</v>
      </c>
      <c r="F4" s="4" t="s">
        <v>19</v>
      </c>
      <c r="G4" s="0"/>
      <c r="H4" s="0"/>
      <c r="I4" s="0"/>
    </row>
    <row r="5" customFormat="false" ht="12.75" hidden="false" customHeight="true" outlineLevel="0" collapsed="false">
      <c r="B5" s="14" t="n">
        <v>6</v>
      </c>
      <c r="C5" s="14" t="n">
        <f aca="false">-LN(0.1 + EXP(-0.5*B5)) / 0.19</f>
        <v>9.99231861898704</v>
      </c>
      <c r="E5" s="14" t="n">
        <v>0</v>
      </c>
      <c r="F5" s="15" t="n">
        <f aca="false">-LN(-0.1 + EXP(-0.19*E5)) / 0.5</f>
        <v>0.210721031315653</v>
      </c>
      <c r="G5" s="0"/>
      <c r="H5" s="0"/>
      <c r="I5" s="0"/>
    </row>
    <row r="6" customFormat="false" ht="12.75" hidden="false" customHeight="true" outlineLevel="0" collapsed="false">
      <c r="B6" s="14" t="n">
        <f aca="false">C5</f>
        <v>9.99231861898704</v>
      </c>
      <c r="C6" s="14" t="n">
        <f aca="false">-LN(0.1 + EXP(-0.5*B6)) / 0.19</f>
        <v>11.7743981976158</v>
      </c>
      <c r="E6" s="14" t="n">
        <f aca="false">F5</f>
        <v>0.210721031315653</v>
      </c>
      <c r="F6" s="15" t="n">
        <f aca="false">-LN(-0.1 + EXP(-0.19*E6)) / 0.5</f>
        <v>0.29989330448142</v>
      </c>
      <c r="G6" s="0"/>
      <c r="H6" s="0"/>
      <c r="I6" s="0"/>
    </row>
    <row r="7" customFormat="false" ht="12.75" hidden="false" customHeight="true" outlineLevel="0" collapsed="false">
      <c r="B7" s="14" t="n">
        <f aca="false">C6</f>
        <v>11.7743981976158</v>
      </c>
      <c r="C7" s="14" t="n">
        <f aca="false">-LN(0.1 + EXP(-0.5*B7)) / 0.19</f>
        <v>11.9748194708389</v>
      </c>
      <c r="E7" s="14" t="n">
        <f aca="false">F6</f>
        <v>0.29989330448142</v>
      </c>
      <c r="F7" s="15" t="n">
        <f aca="false">-LN(-0.1 + EXP(-0.19*E7)) / 0.5</f>
        <v>0.337752971973688</v>
      </c>
      <c r="G7" s="0"/>
      <c r="H7" s="0"/>
      <c r="I7" s="0"/>
    </row>
    <row r="8" customFormat="false" ht="12.75" hidden="false" customHeight="true" outlineLevel="0" collapsed="false">
      <c r="B8" s="14" t="n">
        <f aca="false">C7</f>
        <v>11.9748194708389</v>
      </c>
      <c r="C8" s="14" t="n">
        <f aca="false">-LN(0.1 + EXP(-0.5*B8)) / 0.19</f>
        <v>11.9883862457379</v>
      </c>
      <c r="D8" s="2"/>
      <c r="E8" s="14" t="n">
        <f aca="false">F7</f>
        <v>0.337752971973688</v>
      </c>
      <c r="F8" s="15" t="n">
        <f aca="false">-LN(-0.1 + EXP(-0.19*E8)) / 0.5</f>
        <v>0.353849862304332</v>
      </c>
      <c r="G8" s="0"/>
      <c r="H8" s="0"/>
      <c r="I8" s="0"/>
    </row>
    <row r="9" customFormat="false" ht="12.75" hidden="false" customHeight="true" outlineLevel="0" collapsed="false">
      <c r="B9" s="14" t="n">
        <f aca="false">C8</f>
        <v>11.9883862457379</v>
      </c>
      <c r="C9" s="14" t="n">
        <f aca="false">-LN(0.1 + EXP(-0.5*B9)) / 0.19</f>
        <v>11.9892575922571</v>
      </c>
      <c r="D9" s="2"/>
      <c r="E9" s="14" t="n">
        <f aca="false">F8</f>
        <v>0.353849862304332</v>
      </c>
      <c r="F9" s="15" t="n">
        <f aca="false">-LN(-0.1 + EXP(-0.19*E9)) / 0.5</f>
        <v>0.360697999529391</v>
      </c>
      <c r="G9" s="0"/>
      <c r="H9" s="0"/>
      <c r="I9" s="0"/>
    </row>
    <row r="10" customFormat="false" ht="12.75" hidden="false" customHeight="true" outlineLevel="0" collapsed="false">
      <c r="B10" s="14" t="n">
        <f aca="false">C9</f>
        <v>11.9892575922571</v>
      </c>
      <c r="C10" s="14" t="n">
        <f aca="false">-LN(0.1 + EXP(-0.5*B10)) / 0.19</f>
        <v>11.9893133589647</v>
      </c>
      <c r="D10" s="2"/>
      <c r="E10" s="14" t="n">
        <f aca="false">F9</f>
        <v>0.360697999529391</v>
      </c>
      <c r="F10" s="15" t="n">
        <f aca="false">-LN(-0.1 + EXP(-0.19*E10)) / 0.5</f>
        <v>0.363612178521587</v>
      </c>
      <c r="G10" s="0"/>
      <c r="H10" s="0"/>
      <c r="I10" s="0"/>
    </row>
    <row r="11" customFormat="false" ht="12.75" hidden="false" customHeight="true" outlineLevel="0" collapsed="false">
      <c r="B11" s="14" t="n">
        <f aca="false">C10</f>
        <v>11.9893133589647</v>
      </c>
      <c r="C11" s="14" t="n">
        <f aca="false">-LN(0.1 + EXP(-0.5*B11)) / 0.19</f>
        <v>11.9893169272609</v>
      </c>
      <c r="D11" s="2"/>
      <c r="E11" s="14" t="n">
        <f aca="false">F10</f>
        <v>0.363612178521587</v>
      </c>
      <c r="F11" s="15" t="n">
        <f aca="false">-LN(-0.1 + EXP(-0.19*E11)) / 0.5</f>
        <v>0.364852425809483</v>
      </c>
      <c r="G11" s="0"/>
      <c r="H11" s="0"/>
      <c r="I11" s="0"/>
    </row>
    <row r="12" customFormat="false" ht="12.75" hidden="false" customHeight="true" outlineLevel="0" collapsed="false">
      <c r="B12" s="14" t="n">
        <f aca="false">C11</f>
        <v>11.9893169272609</v>
      </c>
      <c r="C12" s="14" t="n">
        <f aca="false">-LN(0.1 + EXP(-0.5*B12)) / 0.19</f>
        <v>11.9893171555791</v>
      </c>
      <c r="D12" s="2"/>
      <c r="E12" s="14" t="n">
        <f aca="false">F11</f>
        <v>0.364852425809483</v>
      </c>
      <c r="F12" s="15" t="n">
        <f aca="false">-LN(-0.1 + EXP(-0.19*E12)) / 0.5</f>
        <v>0.365380288439133</v>
      </c>
      <c r="G12" s="0"/>
      <c r="H12" s="0"/>
      <c r="I12" s="0"/>
    </row>
    <row r="13" customFormat="false" ht="12.75" hidden="false" customHeight="true" outlineLevel="0" collapsed="false">
      <c r="B13" s="14" t="n">
        <f aca="false">C12</f>
        <v>11.9893171555791</v>
      </c>
      <c r="C13" s="14" t="n">
        <f aca="false">-LN(0.1 + EXP(-0.5*B13)) / 0.19</f>
        <v>11.9893171701881</v>
      </c>
      <c r="D13" s="2"/>
      <c r="E13" s="14" t="n">
        <f aca="false">F12</f>
        <v>0.365380288439133</v>
      </c>
      <c r="F13" s="15" t="n">
        <f aca="false">-LN(-0.1 + EXP(-0.19*E13)) / 0.5</f>
        <v>0.365604957000564</v>
      </c>
      <c r="G13" s="0"/>
      <c r="H13" s="0"/>
      <c r="I13" s="0"/>
    </row>
    <row r="14" customFormat="false" ht="12.75" hidden="false" customHeight="true" outlineLevel="0" collapsed="false">
      <c r="B14" s="14" t="n">
        <f aca="false">C13</f>
        <v>11.9893171701881</v>
      </c>
      <c r="C14" s="14" t="n">
        <f aca="false">-LN(0.1 + EXP(-0.5*B14)) / 0.19</f>
        <v>11.9893171711228</v>
      </c>
      <c r="D14" s="2"/>
      <c r="E14" s="14" t="n">
        <f aca="false">F13</f>
        <v>0.365604957000564</v>
      </c>
      <c r="F14" s="15" t="n">
        <f aca="false">-LN(-0.1 + EXP(-0.19*E14)) / 0.5</f>
        <v>0.365700581113518</v>
      </c>
      <c r="G14" s="0"/>
      <c r="H14" s="0"/>
      <c r="I14" s="0"/>
    </row>
    <row r="15" customFormat="false" ht="12.75" hidden="false" customHeight="true" outlineLevel="0" collapsed="false">
      <c r="B15" s="14" t="n">
        <f aca="false">C14</f>
        <v>11.9893171711228</v>
      </c>
      <c r="C15" s="14" t="n">
        <f aca="false">-LN(0.1 + EXP(-0.5*B15)) / 0.19</f>
        <v>11.9893171711826</v>
      </c>
      <c r="D15" s="2"/>
      <c r="E15" s="14" t="n">
        <f aca="false">F14</f>
        <v>0.365700581113518</v>
      </c>
      <c r="F15" s="15" t="n">
        <f aca="false">-LN(-0.1 + EXP(-0.19*E15)) / 0.5</f>
        <v>0.365741281086515</v>
      </c>
      <c r="G15" s="0"/>
      <c r="H15" s="0"/>
      <c r="I15" s="0"/>
    </row>
    <row r="16" customFormat="false" ht="12.75" hidden="false" customHeight="true" outlineLevel="0" collapsed="false">
      <c r="B16" s="14" t="n">
        <f aca="false">C15</f>
        <v>11.9893171711826</v>
      </c>
      <c r="C16" s="14" t="n">
        <f aca="false">-LN(0.1 + EXP(-0.5*B16)) / 0.19</f>
        <v>11.9893171711865</v>
      </c>
      <c r="D16" s="2"/>
      <c r="E16" s="14" t="n">
        <f aca="false">F15</f>
        <v>0.365741281086515</v>
      </c>
      <c r="F16" s="15" t="n">
        <f aca="false">-LN(-0.1 + EXP(-0.19*E16)) / 0.5</f>
        <v>0.365758604022398</v>
      </c>
      <c r="G16" s="0"/>
      <c r="H16" s="0"/>
      <c r="I16" s="0"/>
    </row>
    <row r="17" customFormat="false" ht="12.75" hidden="false" customHeight="true" outlineLevel="0" collapsed="false">
      <c r="B17" s="14" t="n">
        <f aca="false">C16</f>
        <v>11.9893171711865</v>
      </c>
      <c r="C17" s="14" t="n">
        <f aca="false">-LN(0.1 + EXP(-0.5*B17)) / 0.19</f>
        <v>11.9893171711867</v>
      </c>
      <c r="D17" s="2"/>
      <c r="E17" s="14" t="n">
        <f aca="false">F16</f>
        <v>0.365758604022398</v>
      </c>
      <c r="F17" s="15" t="n">
        <f aca="false">-LN(-0.1 + EXP(-0.19*E17)) / 0.5</f>
        <v>0.365765977106068</v>
      </c>
      <c r="G17" s="0"/>
      <c r="H17" s="0"/>
      <c r="I17" s="0"/>
    </row>
    <row r="18" customFormat="false" ht="12.75" hidden="false" customHeight="true" outlineLevel="0" collapsed="false">
      <c r="B18" s="14" t="n">
        <f aca="false">C17</f>
        <v>11.9893171711867</v>
      </c>
      <c r="C18" s="14" t="n">
        <f aca="false">-LN(0.1 + EXP(-0.5*B18)) / 0.19</f>
        <v>11.9893171711867</v>
      </c>
      <c r="D18" s="2"/>
      <c r="E18" s="14" t="n">
        <f aca="false">F17</f>
        <v>0.365765977106068</v>
      </c>
      <c r="F18" s="15" t="n">
        <f aca="false">-LN(-0.1 + EXP(-0.19*E18)) / 0.5</f>
        <v>0.365769115279555</v>
      </c>
      <c r="G18" s="0"/>
      <c r="H18" s="0"/>
      <c r="I18" s="0"/>
    </row>
    <row r="19" customFormat="false" ht="12.75" hidden="false" customHeight="true" outlineLevel="0" collapsed="false">
      <c r="B19" s="14" t="n">
        <f aca="false">C18</f>
        <v>11.9893171711867</v>
      </c>
      <c r="C19" s="14" t="n">
        <f aca="false">-LN(0.1 + EXP(-0.5*B19)) / 0.19</f>
        <v>11.9893171711867</v>
      </c>
      <c r="D19" s="2"/>
      <c r="E19" s="14" t="n">
        <f aca="false">F18</f>
        <v>0.365769115279555</v>
      </c>
      <c r="F19" s="15" t="n">
        <f aca="false">-LN(-0.1 + EXP(-0.19*E19)) / 0.5</f>
        <v>0.365770450966827</v>
      </c>
      <c r="G19" s="0"/>
      <c r="H19" s="0"/>
      <c r="I19" s="0"/>
    </row>
    <row r="20" customFormat="false" ht="13.8" hidden="false" customHeight="false" outlineLevel="0" collapsed="false">
      <c r="B20" s="14" t="n">
        <f aca="false">C19</f>
        <v>11.9893171711867</v>
      </c>
      <c r="C20" s="14" t="n">
        <f aca="false">-LN(0.1 + EXP(-0.5*B20)) / 0.19</f>
        <v>11.9893171711867</v>
      </c>
      <c r="D20" s="2"/>
      <c r="E20" s="14" t="n">
        <f aca="false">F19</f>
        <v>0.365770450966827</v>
      </c>
      <c r="F20" s="15" t="n">
        <f aca="false">-LN(-0.1 + EXP(-0.19*E20)) / 0.5</f>
        <v>0.36577101946968</v>
      </c>
      <c r="G20" s="0"/>
      <c r="H20" s="0"/>
      <c r="I20" s="0"/>
    </row>
    <row r="21" customFormat="false" ht="13.8" hidden="false" customHeight="false" outlineLevel="0" collapsed="false">
      <c r="B21" s="14" t="n">
        <f aca="false">C20</f>
        <v>11.9893171711867</v>
      </c>
      <c r="C21" s="14" t="n">
        <f aca="false">-LN(0.1 + EXP(-0.5*B21)) / 0.19</f>
        <v>11.9893171711867</v>
      </c>
      <c r="D21" s="2"/>
      <c r="E21" s="14" t="n">
        <f aca="false">F20</f>
        <v>0.36577101946968</v>
      </c>
      <c r="F21" s="15" t="n">
        <f aca="false">-LN(-0.1 + EXP(-0.19*E21)) / 0.5</f>
        <v>0.36577126143912</v>
      </c>
      <c r="G21" s="0"/>
      <c r="H21" s="0"/>
      <c r="I21" s="0"/>
    </row>
    <row r="22" customFormat="false" ht="13.8" hidden="false" customHeight="false" outlineLevel="0" collapsed="false">
      <c r="B22" s="14" t="n">
        <f aca="false">C21</f>
        <v>11.9893171711867</v>
      </c>
      <c r="C22" s="14" t="n">
        <f aca="false">-LN(0.1 + EXP(-0.5*B22)) / 0.19</f>
        <v>11.9893171711867</v>
      </c>
      <c r="D22" s="2"/>
      <c r="E22" s="14" t="n">
        <f aca="false">F21</f>
        <v>0.36577126143912</v>
      </c>
      <c r="F22" s="15" t="n">
        <f aca="false">-LN(-0.1 + EXP(-0.19*E22)) / 0.5</f>
        <v>0.365771364427539</v>
      </c>
      <c r="G22" s="0"/>
      <c r="H22" s="0"/>
      <c r="I22" s="0"/>
    </row>
    <row r="23" customFormat="false" ht="13.8" hidden="false" customHeight="false" outlineLevel="0" collapsed="false">
      <c r="B23" s="14" t="n">
        <f aca="false">C22</f>
        <v>11.9893171711867</v>
      </c>
      <c r="C23" s="16" t="n">
        <f aca="false">-LN(0.1 + EXP(-0.5*B23)) / 0.19</f>
        <v>11.9893171711867</v>
      </c>
      <c r="D23" s="2"/>
      <c r="E23" s="14" t="n">
        <f aca="false">F22</f>
        <v>0.365771364427539</v>
      </c>
      <c r="F23" s="17" t="n">
        <f aca="false">-LN(-0.1 + EXP(-0.19*E23)) / 0.5</f>
        <v>0.365771408262061</v>
      </c>
      <c r="G23" s="0"/>
      <c r="H23" s="0"/>
      <c r="I23" s="0"/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2" min="1" style="1" width="4.5"/>
    <col collapsed="false" customWidth="false" hidden="false" outlineLevel="0" max="7" min="3" style="1" width="10.7"/>
    <col collapsed="false" customWidth="false" hidden="false" outlineLevel="0" max="9" min="8" style="18" width="10.7"/>
    <col collapsed="false" customWidth="false" hidden="false" outlineLevel="0" max="16382" min="10" style="1" width="10.7"/>
    <col collapsed="false" customWidth="true" hidden="false" outlineLevel="0" max="16384" min="16383" style="1" width="10.16"/>
  </cols>
  <sheetData>
    <row r="2" customFormat="false" ht="12.75" hidden="false" customHeight="true" outlineLevel="0" collapsed="false">
      <c r="B2" s="3" t="s">
        <v>20</v>
      </c>
    </row>
    <row r="4" customFormat="false" ht="12.75" hidden="false" customHeight="true" outlineLevel="0" collapsed="false">
      <c r="B4" s="4" t="s">
        <v>7</v>
      </c>
      <c r="C4" s="4" t="s">
        <v>18</v>
      </c>
      <c r="D4" s="4" t="s">
        <v>21</v>
      </c>
      <c r="E4" s="4" t="s">
        <v>22</v>
      </c>
      <c r="F4" s="4" t="s">
        <v>19</v>
      </c>
      <c r="G4" s="4" t="s">
        <v>23</v>
      </c>
    </row>
    <row r="5" customFormat="false" ht="12.75" hidden="false" customHeight="true" outlineLevel="0" collapsed="false">
      <c r="B5" s="1" t="n">
        <v>0</v>
      </c>
      <c r="C5" s="19" t="n">
        <v>0</v>
      </c>
      <c r="D5" s="5" t="n">
        <f aca="false">2-20*(EXP(-0.19*C5)-EXP(-0.5*C5))</f>
        <v>2</v>
      </c>
      <c r="E5" s="5" t="n">
        <f aca="false">-20 * (-0.19*EXP(-0.19*C5) + 0.5*EXP(-0.5*C5))</f>
        <v>-6.2</v>
      </c>
      <c r="F5" s="19" t="n">
        <f aca="false">C5-D5/E5</f>
        <v>0.32258064516129</v>
      </c>
      <c r="G5" s="19" t="n">
        <f aca="false">ABS((F5-C5)/F5)*100</f>
        <v>100</v>
      </c>
    </row>
    <row r="6" customFormat="false" ht="12.75" hidden="false" customHeight="true" outlineLevel="0" collapsed="false">
      <c r="B6" s="1" t="n">
        <v>1</v>
      </c>
      <c r="C6" s="19" t="n">
        <f aca="false">F5</f>
        <v>0.32258064516129</v>
      </c>
      <c r="D6" s="5" t="n">
        <f aca="false">2-20*(EXP(-0.19*C6)-EXP(-0.5*C6))</f>
        <v>0.209896409565536</v>
      </c>
      <c r="E6" s="5" t="n">
        <f aca="false">-20 * (-0.19*EXP(-0.19*C6) + 0.5*EXP(-0.5*C6))</f>
        <v>-4.93635905536665</v>
      </c>
      <c r="F6" s="19" t="n">
        <f aca="false">C6-D6/E6</f>
        <v>0.365101135913952</v>
      </c>
      <c r="G6" s="19" t="n">
        <f aca="false">ABS((F6-C6)/F6)*100</f>
        <v>11.6462225312504</v>
      </c>
    </row>
    <row r="7" customFormat="false" ht="12.75" hidden="false" customHeight="true" outlineLevel="0" collapsed="false">
      <c r="B7" s="1" t="n">
        <v>2</v>
      </c>
      <c r="C7" s="19" t="n">
        <f aca="false">F6</f>
        <v>0.365101135913952</v>
      </c>
      <c r="D7" s="5" t="n">
        <f aca="false">2-20*(EXP(-0.19*C7)-EXP(-0.5*C7))</f>
        <v>0.00320735682420459</v>
      </c>
      <c r="E7" s="5" t="n">
        <f aca="false">-20 * (-0.19*EXP(-0.19*C7) + 0.5*EXP(-0.5*C7))</f>
        <v>-4.78609297559644</v>
      </c>
      <c r="F7" s="19" t="n">
        <f aca="false">C7-D7/E7</f>
        <v>0.365771276849483</v>
      </c>
      <c r="G7" s="19" t="n">
        <f aca="false">ABS((F7-C7)/F7)*100</f>
        <v>0.18321311101932</v>
      </c>
    </row>
    <row r="8" customFormat="false" ht="12.75" hidden="false" customHeight="true" outlineLevel="0" collapsed="false">
      <c r="B8" s="1" t="n">
        <v>3</v>
      </c>
      <c r="C8" s="19" t="n">
        <f aca="false">F7</f>
        <v>0.365771276849483</v>
      </c>
      <c r="D8" s="5" t="n">
        <f aca="false">2-20*(EXP(-0.19*C8)-EXP(-0.5*C8))</f>
        <v>7.84033458600675E-007</v>
      </c>
      <c r="E8" s="5" t="n">
        <f aca="false">-20 * (-0.19*EXP(-0.19*C8) + 0.5*EXP(-0.5*C8))</f>
        <v>-4.78375321570531</v>
      </c>
      <c r="F8" s="19" t="n">
        <f aca="false">C8-D8/E8</f>
        <v>0.36577144074453</v>
      </c>
      <c r="G8" s="19" t="n">
        <f aca="false">ABS((F8-C8)/F8)*100</f>
        <v>4.48080491893678E-005</v>
      </c>
    </row>
    <row r="9" customFormat="false" ht="12.75" hidden="false" customHeight="true" outlineLevel="0" collapsed="false">
      <c r="B9" s="1" t="n">
        <v>4</v>
      </c>
      <c r="C9" s="19" t="n">
        <f aca="false">F8</f>
        <v>0.36577144074453</v>
      </c>
      <c r="D9" s="5" t="n">
        <f aca="false">2-20*(EXP(-0.19*C9)-EXP(-0.5*C9))</f>
        <v>4.70734562441066E-014</v>
      </c>
      <c r="E9" s="5" t="n">
        <f aca="false">-20 * (-0.19*EXP(-0.19*C9) + 0.5*EXP(-0.5*C9))</f>
        <v>-4.78375264358221</v>
      </c>
      <c r="F9" s="20" t="n">
        <f aca="false">C9-D9/E9</f>
        <v>0.36577144074454</v>
      </c>
      <c r="G9" s="19" t="n">
        <f aca="false">ABS((F9-C9)/F9)*100</f>
        <v>2.6862331700727E-012</v>
      </c>
    </row>
    <row r="10" customFormat="false" ht="12.75" hidden="false" customHeight="true" outlineLevel="0" collapsed="false">
      <c r="C10" s="19"/>
      <c r="D10" s="5"/>
      <c r="E10" s="5"/>
      <c r="F10" s="19"/>
      <c r="G10" s="19"/>
    </row>
    <row r="11" customFormat="false" ht="12.75" hidden="false" customHeight="true" outlineLevel="0" collapsed="false">
      <c r="C11" s="19"/>
      <c r="D11" s="5"/>
      <c r="E11" s="5"/>
      <c r="F11" s="19"/>
      <c r="G11" s="19"/>
    </row>
    <row r="12" customFormat="false" ht="12.75" hidden="false" customHeight="false" outlineLevel="0" collapsed="false">
      <c r="C12" s="19"/>
      <c r="D12" s="21"/>
      <c r="E12" s="21"/>
      <c r="F12" s="19"/>
      <c r="G12" s="1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2" min="1" style="1" width="4.5"/>
    <col collapsed="false" customWidth="false" hidden="false" outlineLevel="0" max="7" min="3" style="1" width="10.7"/>
    <col collapsed="false" customWidth="false" hidden="false" outlineLevel="0" max="16382" min="8" style="18" width="10.7"/>
    <col collapsed="false" customWidth="true" hidden="false" outlineLevel="0" max="16384" min="16383" style="18" width="10.16"/>
  </cols>
  <sheetData>
    <row r="1" customFormat="false" ht="12.8" hidden="false" customHeight="false" outlineLevel="0" collapsed="false">
      <c r="C1" s="19"/>
      <c r="D1" s="19"/>
      <c r="E1" s="19"/>
      <c r="F1" s="19"/>
    </row>
    <row r="2" customFormat="false" ht="12.8" hidden="false" customHeight="false" outlineLevel="0" collapsed="false">
      <c r="B2" s="3" t="s">
        <v>24</v>
      </c>
      <c r="C2" s="19"/>
      <c r="D2" s="19"/>
      <c r="E2" s="19"/>
      <c r="F2" s="19"/>
    </row>
    <row r="3" customFormat="false" ht="12.8" hidden="false" customHeight="false" outlineLevel="0" collapsed="false">
      <c r="C3" s="19"/>
      <c r="D3" s="19"/>
      <c r="E3" s="19"/>
    </row>
    <row r="4" customFormat="false" ht="12.8" hidden="false" customHeight="false" outlineLevel="0" collapsed="false">
      <c r="B4" s="4" t="s">
        <v>7</v>
      </c>
      <c r="C4" s="4" t="s">
        <v>25</v>
      </c>
      <c r="D4" s="4" t="s">
        <v>18</v>
      </c>
      <c r="E4" s="4" t="s">
        <v>26</v>
      </c>
      <c r="F4" s="4" t="s">
        <v>21</v>
      </c>
      <c r="G4" s="4" t="s">
        <v>25</v>
      </c>
      <c r="H4" s="4" t="s">
        <v>23</v>
      </c>
    </row>
    <row r="5" customFormat="false" ht="12.8" hidden="false" customHeight="false" outlineLevel="0" collapsed="false">
      <c r="B5" s="1" t="n">
        <v>0</v>
      </c>
      <c r="C5" s="19" t="n">
        <v>0</v>
      </c>
      <c r="D5" s="19" t="n">
        <v>3</v>
      </c>
      <c r="E5" s="5" t="n">
        <f aca="false">2-20*(EXP(-0.19*C5)-EXP(-0.5*C5))</f>
        <v>2</v>
      </c>
      <c r="F5" s="5" t="n">
        <f aca="false">2-20*(EXP(-0.19*D5)-EXP(-0.5*D5))</f>
        <v>-4.84790557102215</v>
      </c>
      <c r="G5" s="19" t="n">
        <f aca="false">D5-F5*((D5-C5)/(F5-E5))</f>
        <v>0.876180306193156</v>
      </c>
      <c r="H5" s="19" t="n">
        <f aca="false">ABS((G5-D5)/G5)*100</f>
        <v>242.395278551107</v>
      </c>
    </row>
    <row r="6" customFormat="false" ht="12.8" hidden="false" customHeight="false" outlineLevel="0" collapsed="false">
      <c r="B6" s="1" t="n">
        <v>1</v>
      </c>
      <c r="C6" s="19" t="n">
        <f aca="false">D5</f>
        <v>3</v>
      </c>
      <c r="D6" s="19" t="n">
        <f aca="false">G5</f>
        <v>0.876180306193156</v>
      </c>
      <c r="E6" s="5" t="n">
        <f aca="false">2-20*(EXP(-0.19*C6)-EXP(-0.5*C6))</f>
        <v>-4.84790557102215</v>
      </c>
      <c r="F6" s="5" t="n">
        <f aca="false">2-20*(EXP(-0.19*D6)-EXP(-0.5*D6))</f>
        <v>-2.02754006937686</v>
      </c>
      <c r="G6" s="19" t="n">
        <f aca="false">D6-F6*((D6-C6)/(F6-E6))</f>
        <v>-0.650618091678698</v>
      </c>
      <c r="H6" s="19" t="n">
        <f aca="false">ABS((G6-D6)/G6)*100</f>
        <v>234.668912131305</v>
      </c>
    </row>
    <row r="7" customFormat="false" ht="12.8" hidden="false" customHeight="false" outlineLevel="0" collapsed="false">
      <c r="B7" s="1" t="n">
        <v>2</v>
      </c>
      <c r="C7" s="19" t="n">
        <f aca="false">D6</f>
        <v>0.876180306193156</v>
      </c>
      <c r="D7" s="19" t="n">
        <f aca="false">G6</f>
        <v>-0.650618091678698</v>
      </c>
      <c r="E7" s="5" t="n">
        <f aca="false">2-20*(EXP(-0.19*C7)-EXP(-0.5*C7))</f>
        <v>-2.02754006937686</v>
      </c>
      <c r="F7" s="5" t="n">
        <f aca="false">2-20*(EXP(-0.19*D7)-EXP(-0.5*D7))</f>
        <v>7.05751108162676</v>
      </c>
      <c r="G7" s="19" t="n">
        <f aca="false">D7-F7*((D7-C7)/(F7-E7))</f>
        <v>0.535439799828081</v>
      </c>
      <c r="H7" s="19" t="n">
        <f aca="false">ABS((G7-D7)/G7)*100</f>
        <v>221.510969466147</v>
      </c>
    </row>
    <row r="8" customFormat="false" ht="12.8" hidden="false" customHeight="false" outlineLevel="0" collapsed="false">
      <c r="B8" s="1" t="n">
        <v>3</v>
      </c>
      <c r="C8" s="19" t="n">
        <f aca="false">D7</f>
        <v>-0.650618091678698</v>
      </c>
      <c r="D8" s="19" t="n">
        <f aca="false">G7</f>
        <v>0.535439799828081</v>
      </c>
      <c r="E8" s="5" t="n">
        <f aca="false">2-20*(EXP(-0.19*C8)-EXP(-0.5*C8))</f>
        <v>7.05751108162676</v>
      </c>
      <c r="F8" s="5" t="n">
        <f aca="false">2-20*(EXP(-0.19*D8)-EXP(-0.5*D8))</f>
        <v>-0.762962465897283</v>
      </c>
      <c r="G8" s="19" t="n">
        <f aca="false">D8-F8*((D8-C8)/(F8-E8))</f>
        <v>0.419728436813825</v>
      </c>
      <c r="H8" s="19" t="n">
        <f aca="false">ABS((G8-D8)/G8)*100</f>
        <v>27.5681495141539</v>
      </c>
    </row>
    <row r="9" customFormat="false" ht="12.8" hidden="false" customHeight="false" outlineLevel="0" collapsed="false">
      <c r="B9" s="1" t="n">
        <v>4</v>
      </c>
      <c r="C9" s="19" t="n">
        <f aca="false">D8</f>
        <v>0.535439799828081</v>
      </c>
      <c r="D9" s="19" t="n">
        <f aca="false">G8</f>
        <v>0.419728436813825</v>
      </c>
      <c r="E9" s="5" t="n">
        <f aca="false">2-20*(EXP(-0.19*C9)-EXP(-0.5*C9))</f>
        <v>-0.762962465897283</v>
      </c>
      <c r="F9" s="5" t="n">
        <f aca="false">2-20*(EXP(-0.19*D9)-EXP(-0.5*D9))</f>
        <v>-0.25308626103133</v>
      </c>
      <c r="G9" s="19" t="n">
        <f aca="false">D9-F9*((D9-C9)/(F9-E9))</f>
        <v>0.362293012401705</v>
      </c>
      <c r="H9" s="19" t="n">
        <f aca="false">ABS((G9-D9)/G9)*100</f>
        <v>15.8533072529802</v>
      </c>
    </row>
    <row r="10" customFormat="false" ht="12.8" hidden="false" customHeight="false" outlineLevel="0" collapsed="false">
      <c r="B10" s="1" t="n">
        <v>5</v>
      </c>
      <c r="C10" s="19" t="n">
        <f aca="false">D9</f>
        <v>0.419728436813825</v>
      </c>
      <c r="D10" s="19" t="n">
        <f aca="false">G9</f>
        <v>0.362293012401705</v>
      </c>
      <c r="E10" s="5" t="n">
        <f aca="false">2-20*(EXP(-0.19*C10)-EXP(-0.5*C10))</f>
        <v>-0.25308626103133</v>
      </c>
      <c r="F10" s="5" t="n">
        <f aca="false">2-20*(EXP(-0.19*D10)-EXP(-0.5*D10))</f>
        <v>0.0166610728338639</v>
      </c>
      <c r="G10" s="19" t="n">
        <f aca="false">D10-F10*((D10-C10)/(F10-E10))</f>
        <v>0.365840538805997</v>
      </c>
      <c r="H10" s="19" t="n">
        <f aca="false">ABS((G10-D10)/G10)*100</f>
        <v>0.969691990906853</v>
      </c>
    </row>
    <row r="11" customFormat="false" ht="12.8" hidden="false" customHeight="false" outlineLevel="0" collapsed="false">
      <c r="B11" s="1" t="n">
        <v>6</v>
      </c>
      <c r="C11" s="19" t="n">
        <f aca="false">D10</f>
        <v>0.362293012401705</v>
      </c>
      <c r="D11" s="19" t="n">
        <f aca="false">G10</f>
        <v>0.365840538805997</v>
      </c>
      <c r="E11" s="5" t="n">
        <f aca="false">2-20*(EXP(-0.19*C11)-EXP(-0.5*C11))</f>
        <v>0.0166610728338639</v>
      </c>
      <c r="F11" s="5" t="n">
        <f aca="false">2-20*(EXP(-0.19*D11)-EXP(-0.5*D11))</f>
        <v>-0.000330539700809762</v>
      </c>
      <c r="G11" s="19" t="n">
        <f aca="false">D11-F11*((D11-C11)/(F11-E11))</f>
        <v>0.365771528386068</v>
      </c>
      <c r="H11" s="19" t="n">
        <f aca="false">ABS((G11-D11)/G11)*100</f>
        <v>0.0188670835681426</v>
      </c>
    </row>
    <row r="12" customFormat="false" ht="12.8" hidden="false" customHeight="false" outlineLevel="0" collapsed="false">
      <c r="B12" s="1" t="n">
        <v>7</v>
      </c>
      <c r="C12" s="19" t="n">
        <f aca="false">D11</f>
        <v>0.365840538805997</v>
      </c>
      <c r="D12" s="19" t="n">
        <f aca="false">G11</f>
        <v>0.365771528386068</v>
      </c>
      <c r="E12" s="5" t="n">
        <f aca="false">2-20*(EXP(-0.19*C12)-EXP(-0.5*C12))</f>
        <v>-0.000330539700809762</v>
      </c>
      <c r="F12" s="5" t="n">
        <f aca="false">2-20*(EXP(-0.19*D12)-EXP(-0.5*D12))</f>
        <v>-4.19255378858452E-007</v>
      </c>
      <c r="G12" s="19" t="n">
        <f aca="false">D12-F12*((D12-C12)/(F12-E12))</f>
        <v>0.36577144074233</v>
      </c>
      <c r="H12" s="19" t="n">
        <f aca="false">ABS((G12-D12)/G12)*100</f>
        <v>2.39613397889649E-005</v>
      </c>
    </row>
    <row r="13" customFormat="false" ht="12.8" hidden="false" customHeight="false" outlineLevel="0" collapsed="false">
      <c r="B13" s="1" t="n">
        <v>9</v>
      </c>
      <c r="C13" s="19" t="n">
        <f aca="false">D12</f>
        <v>0.365771528386068</v>
      </c>
      <c r="D13" s="19" t="n">
        <f aca="false">G12</f>
        <v>0.36577144074233</v>
      </c>
      <c r="E13" s="5" t="n">
        <f aca="false">2-20*(EXP(-0.19*C13)-EXP(-0.5*C13))</f>
        <v>-4.19255378858452E-007</v>
      </c>
      <c r="F13" s="5" t="n">
        <f aca="false">2-20*(EXP(-0.19*D13)-EXP(-0.5*D13))</f>
        <v>1.05697672836413E-011</v>
      </c>
      <c r="G13" s="20" t="n">
        <f aca="false">D13-F13*((D13-C13)/(F13-E13))</f>
        <v>0.36577144074454</v>
      </c>
      <c r="H13" s="19" t="n">
        <f aca="false">ABS((G13-D13)/G13)*100</f>
        <v>6.04068581177422E-010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1" min="1" style="1" width="4.5"/>
    <col collapsed="false" customWidth="false" hidden="false" outlineLevel="0" max="6" min="2" style="1" width="10.7"/>
    <col collapsed="false" customWidth="true" hidden="false" outlineLevel="0" max="7" min="7" style="1" width="7.66"/>
    <col collapsed="false" customWidth="false" hidden="false" outlineLevel="0" max="9" min="8" style="1" width="10.7"/>
    <col collapsed="false" customWidth="false" hidden="false" outlineLevel="0" max="22" min="10" style="18" width="10.7"/>
    <col collapsed="false" customWidth="false" hidden="false" outlineLevel="0" max="16374" min="23" style="1" width="10.7"/>
    <col collapsed="false" customWidth="true" hidden="false" outlineLevel="0" max="16384" min="16375" style="1" width="10.16"/>
  </cols>
  <sheetData>
    <row r="2" customFormat="false" ht="12.8" hidden="false" customHeight="false" outlineLevel="0" collapsed="false">
      <c r="B2" s="3" t="s">
        <v>27</v>
      </c>
    </row>
    <row r="4" customFormat="false" ht="12.8" hidden="false" customHeight="false" outlineLevel="0" collapsed="false">
      <c r="B4" s="4" t="s">
        <v>1</v>
      </c>
      <c r="C4" s="4" t="s">
        <v>28</v>
      </c>
      <c r="D4" s="4" t="s">
        <v>8</v>
      </c>
      <c r="E4" s="4" t="s">
        <v>9</v>
      </c>
      <c r="F4" s="4" t="s">
        <v>12</v>
      </c>
      <c r="G4" s="4"/>
      <c r="H4" s="4"/>
      <c r="I4" s="4"/>
    </row>
    <row r="5" customFormat="false" ht="12.8" hidden="false" customHeight="false" outlineLevel="0" collapsed="false">
      <c r="B5" s="22" t="n">
        <v>0</v>
      </c>
      <c r="C5" s="23" t="n">
        <f aca="false">10-20*(EXP(-0.19*B5)-EXP(-0.5*B5))</f>
        <v>10</v>
      </c>
      <c r="D5" s="24" t="n">
        <f aca="false">B5^2</f>
        <v>0</v>
      </c>
      <c r="E5" s="22" t="n">
        <f aca="false">B5</f>
        <v>0</v>
      </c>
      <c r="F5" s="24" t="n">
        <v>1</v>
      </c>
      <c r="G5" s="25" t="s">
        <v>29</v>
      </c>
      <c r="H5" s="24" t="n">
        <f aca="false" t="array" ref="H5:H7">MMULT(MINVERSE(D5:F7),C5:C7)</f>
        <v>0.460842892948639</v>
      </c>
      <c r="I5" s="19"/>
    </row>
    <row r="6" customFormat="false" ht="12.8" hidden="false" customHeight="false" outlineLevel="0" collapsed="false">
      <c r="B6" s="22" t="n">
        <v>3</v>
      </c>
      <c r="C6" s="23" t="n">
        <f aca="false">10-20*(EXP(-0.19*B6)-EXP(-0.5*B6))</f>
        <v>3.15209442897785</v>
      </c>
      <c r="D6" s="24" t="n">
        <f aca="false">B6^2</f>
        <v>9</v>
      </c>
      <c r="E6" s="22" t="n">
        <f aca="false">B6</f>
        <v>3</v>
      </c>
      <c r="F6" s="24" t="n">
        <v>1</v>
      </c>
      <c r="G6" s="25" t="s">
        <v>30</v>
      </c>
      <c r="H6" s="24" t="n">
        <v>-3.66516386918663</v>
      </c>
      <c r="I6" s="19"/>
    </row>
    <row r="7" customFormat="false" ht="12.8" hidden="false" customHeight="false" outlineLevel="0" collapsed="false">
      <c r="B7" s="22" t="n">
        <v>6</v>
      </c>
      <c r="C7" s="23" t="n">
        <f aca="false">10-20*(EXP(-0.19*B7)-EXP(-0.5*B7))</f>
        <v>4.5993609310312</v>
      </c>
      <c r="D7" s="24" t="n">
        <f aca="false">B7^2</f>
        <v>36</v>
      </c>
      <c r="E7" s="22" t="n">
        <f aca="false">B7</f>
        <v>6</v>
      </c>
      <c r="F7" s="24" t="n">
        <v>1</v>
      </c>
      <c r="G7" s="25" t="s">
        <v>31</v>
      </c>
      <c r="H7" s="24" t="n">
        <v>10</v>
      </c>
      <c r="I7" s="19"/>
    </row>
    <row r="8" customFormat="false" ht="12.8" hidden="false" customHeight="false" outlineLevel="0" collapsed="false">
      <c r="B8" s="22" t="n">
        <f aca="false">-$H$6/(2*$H$5)</f>
        <v>3.97658716806458</v>
      </c>
      <c r="C8" s="23" t="n">
        <f aca="false">10-20*(EXP(-0.19*B8)-EXP(-0.5*B8))</f>
        <v>3.34354875172268</v>
      </c>
      <c r="D8" s="26"/>
      <c r="E8" s="26"/>
      <c r="F8" s="26"/>
      <c r="G8" s="26"/>
      <c r="H8" s="26"/>
      <c r="I8" s="19"/>
    </row>
    <row r="9" customFormat="false" ht="12.8" hidden="false" customHeight="false" outlineLevel="0" collapsed="false">
      <c r="B9" s="27" t="n">
        <f aca="false">B6-0.5*(((B6-B5)^2*(C6-C7)-(B6-B7)^2*(C6-C5)) / ((B6-B5)*(C6-C7)-(B6-B7)*(C6-C5)))</f>
        <v>3.97658716806458</v>
      </c>
      <c r="C9" s="26"/>
      <c r="D9" s="19"/>
      <c r="E9" s="19"/>
      <c r="F9" s="19"/>
      <c r="G9" s="19"/>
      <c r="H9" s="19"/>
      <c r="I9" s="19"/>
    </row>
    <row r="10" customFormat="false" ht="12.8" hidden="false" customHeight="false" outlineLevel="0" collapsed="false">
      <c r="B10" s="26"/>
      <c r="C10" s="26"/>
      <c r="D10" s="19"/>
      <c r="E10" s="19"/>
      <c r="F10" s="19"/>
      <c r="G10" s="19"/>
      <c r="H10" s="19"/>
      <c r="I10" s="19"/>
    </row>
    <row r="11" customFormat="false" ht="12.8" hidden="false" customHeight="false" outlineLevel="0" collapsed="false">
      <c r="B11" s="4" t="s">
        <v>1</v>
      </c>
      <c r="C11" s="4" t="s">
        <v>28</v>
      </c>
      <c r="D11" s="4" t="s">
        <v>8</v>
      </c>
      <c r="E11" s="4" t="s">
        <v>9</v>
      </c>
      <c r="F11" s="4" t="s">
        <v>12</v>
      </c>
      <c r="G11" s="19"/>
      <c r="H11" s="19"/>
      <c r="I11" s="19"/>
    </row>
    <row r="12" customFormat="false" ht="12.8" hidden="false" customHeight="false" outlineLevel="0" collapsed="false">
      <c r="B12" s="22" t="n">
        <v>3</v>
      </c>
      <c r="C12" s="23" t="n">
        <f aca="false">10-20*(EXP(-0.19*B12)-EXP(-0.5*B12))</f>
        <v>3.15209442897785</v>
      </c>
      <c r="D12" s="24" t="n">
        <f aca="false">B12^2</f>
        <v>9</v>
      </c>
      <c r="E12" s="24" t="n">
        <f aca="false">B12</f>
        <v>3</v>
      </c>
      <c r="F12" s="24" t="n">
        <f aca="false">1</f>
        <v>1</v>
      </c>
      <c r="G12" s="25" t="s">
        <v>29</v>
      </c>
      <c r="H12" s="24" t="n">
        <f aca="false" t="array" ref="H12:H14">MMULT(MINVERSE(D12:F14),C12:C14)</f>
        <v>0.141532112695018</v>
      </c>
      <c r="I12" s="19"/>
    </row>
    <row r="13" customFormat="false" ht="12.8" hidden="false" customHeight="false" outlineLevel="0" collapsed="false">
      <c r="B13" s="22" t="n">
        <f aca="false">$B$8</f>
        <v>3.97658716806458</v>
      </c>
      <c r="C13" s="23" t="n">
        <f aca="false">10-20*(EXP(-0.19*B13)-EXP(-0.5*B13))</f>
        <v>3.34354875172268</v>
      </c>
      <c r="D13" s="24" t="n">
        <f aca="false">B13^2</f>
        <v>15.8132455052159</v>
      </c>
      <c r="E13" s="24" t="n">
        <f aca="false">B13</f>
        <v>3.97658716806458</v>
      </c>
      <c r="F13" s="24" t="n">
        <f aca="false">1</f>
        <v>1</v>
      </c>
      <c r="G13" s="25" t="s">
        <v>30</v>
      </c>
      <c r="H13" s="24" t="n">
        <v>-0.791366846904039</v>
      </c>
    </row>
    <row r="14" customFormat="false" ht="12.8" hidden="false" customHeight="false" outlineLevel="0" collapsed="false">
      <c r="B14" s="22" t="n">
        <v>6</v>
      </c>
      <c r="C14" s="23" t="n">
        <f aca="false">10-20*(EXP(-0.19*B14)-EXP(-0.5*B14))</f>
        <v>4.5993609310312</v>
      </c>
      <c r="D14" s="24" t="n">
        <f aca="false">B14^2</f>
        <v>36</v>
      </c>
      <c r="E14" s="24" t="n">
        <f aca="false">B14</f>
        <v>6</v>
      </c>
      <c r="F14" s="24" t="n">
        <f aca="false">1</f>
        <v>1</v>
      </c>
      <c r="G14" s="25" t="s">
        <v>31</v>
      </c>
      <c r="H14" s="24" t="n">
        <v>4.25240595543482</v>
      </c>
      <c r="I14" s="19"/>
    </row>
    <row r="15" customFormat="false" ht="12.8" hidden="false" customHeight="false" outlineLevel="0" collapsed="false">
      <c r="B15" s="22" t="n">
        <f aca="false">-H13/(2*H12)</f>
        <v>2.79571480929324</v>
      </c>
      <c r="C15" s="23" t="n">
        <f aca="false">10-20*(EXP(-0.19*B15)-EXP(-0.5*B15))</f>
        <v>3.18436960818873</v>
      </c>
      <c r="D15" s="28"/>
      <c r="E15" s="28"/>
      <c r="F15" s="28"/>
      <c r="G15" s="28"/>
      <c r="H15" s="28"/>
      <c r="I15" s="4"/>
    </row>
    <row r="16" customFormat="false" ht="12.8" hidden="false" customHeight="false" outlineLevel="0" collapsed="false">
      <c r="B16" s="27" t="n">
        <f aca="false">B13-0.5*(((B13-B12)^2*(C13-C14)-(B13-B14)^2*(C13-C12)) / ((B13-B12)*(C13-C14)-(B13-B14)*(C13-C12)))</f>
        <v>2.79571480929324</v>
      </c>
      <c r="C16" s="19"/>
      <c r="D16" s="19"/>
      <c r="E16" s="19"/>
      <c r="F16" s="19"/>
      <c r="G16" s="19"/>
      <c r="H16" s="19"/>
      <c r="I16" s="19"/>
    </row>
    <row r="17" customFormat="false" ht="12.8" hidden="false" customHeight="false" outlineLevel="0" collapsed="false">
      <c r="C17" s="19"/>
      <c r="D17" s="19"/>
      <c r="E17" s="19"/>
      <c r="F17" s="19"/>
      <c r="G17" s="19"/>
      <c r="H17" s="19"/>
      <c r="I17" s="19"/>
    </row>
    <row r="18" customFormat="false" ht="12.8" hidden="false" customHeight="false" outlineLevel="0" collapsed="false">
      <c r="B18" s="4" t="s">
        <v>1</v>
      </c>
      <c r="C18" s="4" t="s">
        <v>28</v>
      </c>
      <c r="D18" s="4" t="s">
        <v>8</v>
      </c>
      <c r="E18" s="4" t="s">
        <v>9</v>
      </c>
      <c r="F18" s="4" t="s">
        <v>12</v>
      </c>
      <c r="G18" s="19"/>
      <c r="H18" s="19"/>
      <c r="I18" s="19"/>
    </row>
    <row r="19" customFormat="false" ht="12.8" hidden="false" customHeight="false" outlineLevel="0" collapsed="false">
      <c r="B19" s="22" t="n">
        <v>3</v>
      </c>
      <c r="C19" s="23" t="n">
        <f aca="false">10-20*(EXP(-0.19*B19)-EXP(-0.5*B19))</f>
        <v>3.15209442897785</v>
      </c>
      <c r="D19" s="24" t="n">
        <f aca="false">B19^2</f>
        <v>9</v>
      </c>
      <c r="E19" s="22" t="n">
        <f aca="false">B19</f>
        <v>3</v>
      </c>
      <c r="F19" s="24" t="n">
        <f aca="false">1</f>
        <v>1</v>
      </c>
      <c r="G19" s="25" t="s">
        <v>29</v>
      </c>
      <c r="H19" s="24" t="n">
        <f aca="false" t="array" ref="H19:H21">MMULT(MINVERSE(D19:F21),C19:C21)</f>
        <v>0.299808073611996</v>
      </c>
      <c r="I19" s="19"/>
    </row>
    <row r="20" customFormat="false" ht="12.8" hidden="false" customHeight="false" outlineLevel="0" collapsed="false">
      <c r="B20" s="22" t="n">
        <f aca="false">$B$15</f>
        <v>2.79571480929324</v>
      </c>
      <c r="C20" s="23" t="n">
        <f aca="false">10-20*(EXP(-0.19*B20)-EXP(-0.5*B20))</f>
        <v>3.18436960818873</v>
      </c>
      <c r="D20" s="24" t="n">
        <f aca="false">B20^2</f>
        <v>7.81602129490151</v>
      </c>
      <c r="E20" s="22" t="n">
        <f aca="false">B20</f>
        <v>2.79571480929324</v>
      </c>
      <c r="F20" s="24" t="n">
        <f aca="false">1</f>
        <v>1</v>
      </c>
      <c r="G20" s="25" t="s">
        <v>30</v>
      </c>
      <c r="H20" s="24" t="n">
        <v>-1.89559288485053</v>
      </c>
      <c r="I20" s="19"/>
    </row>
    <row r="21" customFormat="false" ht="12.8" hidden="false" customHeight="false" outlineLevel="0" collapsed="false">
      <c r="B21" s="22" t="n">
        <f aca="false">$B$8</f>
        <v>3.97658716806458</v>
      </c>
      <c r="C21" s="23" t="n">
        <f aca="false">10-20*(EXP(-0.19*B21)-EXP(-0.5*B21))</f>
        <v>3.34354875172268</v>
      </c>
      <c r="D21" s="24" t="n">
        <f aca="false">B21^2</f>
        <v>15.8132455052159</v>
      </c>
      <c r="E21" s="22" t="n">
        <f aca="false">B21</f>
        <v>3.97658716806458</v>
      </c>
      <c r="F21" s="24" t="n">
        <f aca="false">1</f>
        <v>1</v>
      </c>
      <c r="G21" s="25" t="s">
        <v>31</v>
      </c>
      <c r="H21" s="24" t="n">
        <v>6.14060042102149</v>
      </c>
      <c r="I21" s="19"/>
    </row>
    <row r="22" customFormat="false" ht="12.8" hidden="false" customHeight="false" outlineLevel="0" collapsed="false">
      <c r="B22" s="22" t="n">
        <f aca="false">-H20/(2*H19)</f>
        <v>3.16134395917529</v>
      </c>
      <c r="C22" s="23" t="n">
        <f aca="false">10-20*(EXP(-0.19*B22)-EXP(-0.5*B22))</f>
        <v>3.1476928930517</v>
      </c>
      <c r="D22" s="19"/>
      <c r="E22" s="19"/>
      <c r="F22" s="19"/>
      <c r="G22" s="19"/>
      <c r="H22" s="19"/>
      <c r="I22" s="19"/>
    </row>
    <row r="23" customFormat="false" ht="12.8" hidden="false" customHeight="false" outlineLevel="0" collapsed="false">
      <c r="B23" s="27" t="n">
        <f aca="false">B20-0.5*(((B20-B19)^2*(C20-C21)-(B20-B21)^2*(C20-C19)) / ((B20-B19)*(C20-C21)-(B20-B21)*(C20-C19)))</f>
        <v>3.16134395917528</v>
      </c>
      <c r="C23" s="19"/>
      <c r="D23" s="19"/>
      <c r="E23" s="19"/>
      <c r="F23" s="19"/>
      <c r="G23" s="19"/>
      <c r="H23" s="19"/>
      <c r="I23" s="19"/>
    </row>
    <row r="24" customFormat="false" ht="12.8" hidden="false" customHeight="false" outlineLevel="0" collapsed="false">
      <c r="C24" s="19"/>
      <c r="D24" s="19"/>
      <c r="E24" s="19"/>
      <c r="F24" s="19"/>
      <c r="G24" s="19"/>
      <c r="H24" s="19"/>
      <c r="I24" s="19"/>
    </row>
    <row r="25" customFormat="false" ht="12.8" hidden="false" customHeight="false" outlineLevel="0" collapsed="false">
      <c r="B25" s="4" t="s">
        <v>1</v>
      </c>
      <c r="C25" s="4" t="s">
        <v>28</v>
      </c>
      <c r="D25" s="4" t="s">
        <v>8</v>
      </c>
      <c r="E25" s="4" t="s">
        <v>9</v>
      </c>
      <c r="F25" s="4" t="s">
        <v>12</v>
      </c>
      <c r="G25" s="19"/>
      <c r="H25" s="19"/>
      <c r="I25" s="19"/>
    </row>
    <row r="26" customFormat="false" ht="12.8" hidden="false" customHeight="false" outlineLevel="0" collapsed="false">
      <c r="B26" s="22" t="n">
        <f aca="false">$B$22</f>
        <v>3.16134395917529</v>
      </c>
      <c r="C26" s="23" t="n">
        <f aca="false">10-20*(EXP(-0.19*B26)-EXP(-0.5*B26))</f>
        <v>3.1476928930517</v>
      </c>
      <c r="D26" s="24" t="n">
        <f aca="false">B26^2</f>
        <v>9.99409562821409</v>
      </c>
      <c r="E26" s="22" t="n">
        <f aca="false">B26</f>
        <v>3.16134395917529</v>
      </c>
      <c r="F26" s="24" t="n">
        <f aca="false">1</f>
        <v>1</v>
      </c>
      <c r="G26" s="25" t="s">
        <v>29</v>
      </c>
      <c r="H26" s="24" t="n">
        <f aca="false" t="array" ref="H26:H28">MMULT(MINVERSE(D26:F28), C26:C28)</f>
        <v>0.357494313570854</v>
      </c>
    </row>
    <row r="27" customFormat="false" ht="12.8" hidden="false" customHeight="false" outlineLevel="0" collapsed="false">
      <c r="B27" s="22" t="n">
        <v>3</v>
      </c>
      <c r="C27" s="23" t="n">
        <f aca="false">10-20*(EXP(-0.19*B27)-EXP(-0.5*B27))</f>
        <v>3.15209442897785</v>
      </c>
      <c r="D27" s="24" t="n">
        <f aca="false">B27^2</f>
        <v>9</v>
      </c>
      <c r="E27" s="22" t="n">
        <f aca="false">B27</f>
        <v>3</v>
      </c>
      <c r="F27" s="24" t="n">
        <f aca="false">1</f>
        <v>1</v>
      </c>
      <c r="G27" s="25" t="s">
        <v>30</v>
      </c>
      <c r="H27" s="24" t="n">
        <v>-2.22992588007241</v>
      </c>
    </row>
    <row r="28" customFormat="false" ht="12.8" hidden="false" customHeight="false" outlineLevel="0" collapsed="false">
      <c r="B28" s="22" t="n">
        <f aca="false">$B$15</f>
        <v>2.79571480929324</v>
      </c>
      <c r="C28" s="23" t="n">
        <f aca="false">10-20*(EXP(-0.19*B28)-EXP(-0.5*B28))</f>
        <v>3.18436960818873</v>
      </c>
      <c r="D28" s="24" t="n">
        <f aca="false">B28^2</f>
        <v>7.81602129490151</v>
      </c>
      <c r="E28" s="22" t="n">
        <f aca="false">B28</f>
        <v>2.79571480929324</v>
      </c>
      <c r="F28" s="24" t="n">
        <f aca="false">1</f>
        <v>1</v>
      </c>
      <c r="G28" s="25" t="s">
        <v>31</v>
      </c>
      <c r="H28" s="24" t="n">
        <v>6.62442324705762</v>
      </c>
    </row>
    <row r="29" customFormat="false" ht="12.8" hidden="false" customHeight="false" outlineLevel="0" collapsed="false">
      <c r="B29" s="22" t="n">
        <f aca="false">-H27/(2*H26)</f>
        <v>3.11882706300789</v>
      </c>
      <c r="C29" s="23" t="n">
        <f aca="false">10-20*(EXP(-0.19*B29)-EXP(-0.5*B29))</f>
        <v>3.14717603323034</v>
      </c>
    </row>
    <row r="30" customFormat="false" ht="12.8" hidden="false" customHeight="false" outlineLevel="0" collapsed="false">
      <c r="B30" s="29" t="n">
        <f aca="false">B27-0.5*(((B27-B26)^2*(C27-C28)-(B27-B28)^2*(C27-C26)) / ((B27-B26)*(C27-C28)-(B27-B28)*(C27-C26)))</f>
        <v>3.11882706300803</v>
      </c>
    </row>
    <row r="32" customFormat="false" ht="12.8" hidden="false" customHeight="false" outlineLevel="0" collapsed="false">
      <c r="B32" s="4" t="s">
        <v>1</v>
      </c>
      <c r="C32" s="4" t="s">
        <v>28</v>
      </c>
      <c r="D32" s="4" t="s">
        <v>8</v>
      </c>
      <c r="E32" s="4" t="s">
        <v>9</v>
      </c>
      <c r="F32" s="4" t="s">
        <v>12</v>
      </c>
      <c r="G32" s="19"/>
      <c r="H32" s="19"/>
    </row>
    <row r="33" customFormat="false" ht="12.8" hidden="false" customHeight="false" outlineLevel="0" collapsed="false">
      <c r="B33" s="22" t="n">
        <f aca="false">$B$29</f>
        <v>3.11882706300789</v>
      </c>
      <c r="C33" s="23" t="n">
        <f aca="false">10-20*(EXP(-0.19*B33)-EXP(-0.5*B33))</f>
        <v>3.14717603323034</v>
      </c>
      <c r="D33" s="24" t="n">
        <f aca="false">B33^2</f>
        <v>9.72708224895042</v>
      </c>
      <c r="E33" s="22" t="n">
        <f aca="false">B33</f>
        <v>3.11882706300789</v>
      </c>
      <c r="F33" s="24" t="n">
        <f aca="false">1</f>
        <v>1</v>
      </c>
      <c r="G33" s="25" t="s">
        <v>29</v>
      </c>
      <c r="H33" s="24" t="n">
        <f aca="false" t="array" ref="H33:H35">MMULT(MINVERSE(D33:F35), C33:C35)</f>
        <v>0.331885888166681</v>
      </c>
    </row>
    <row r="34" customFormat="false" ht="12.8" hidden="false" customHeight="false" outlineLevel="0" collapsed="false">
      <c r="B34" s="22" t="n">
        <f aca="false">$B$22</f>
        <v>3.16134395917529</v>
      </c>
      <c r="C34" s="23" t="n">
        <f aca="false">10-20*(EXP(-0.19*B34)-EXP(-0.5*B34))</f>
        <v>3.1476928930517</v>
      </c>
      <c r="D34" s="24" t="n">
        <f aca="false">B34^2</f>
        <v>9.99409562821409</v>
      </c>
      <c r="E34" s="22" t="n">
        <f aca="false">B34</f>
        <v>3.16134395917529</v>
      </c>
      <c r="F34" s="24" t="n">
        <f aca="false">1</f>
        <v>1</v>
      </c>
      <c r="G34" s="25" t="s">
        <v>30</v>
      </c>
      <c r="H34" s="24" t="n">
        <v>-2.07214356290547</v>
      </c>
    </row>
    <row r="35" customFormat="false" ht="12.8" hidden="false" customHeight="false" outlineLevel="0" collapsed="false">
      <c r="B35" s="22" t="n">
        <v>3</v>
      </c>
      <c r="C35" s="23" t="n">
        <f aca="false">10-20*(EXP(-0.19*B35)-EXP(-0.5*B35))</f>
        <v>3.15209442897785</v>
      </c>
      <c r="D35" s="24" t="n">
        <f aca="false">B35^2</f>
        <v>9</v>
      </c>
      <c r="E35" s="22" t="n">
        <f aca="false">B35</f>
        <v>3</v>
      </c>
      <c r="F35" s="24" t="n">
        <f aca="false">1</f>
        <v>1</v>
      </c>
      <c r="G35" s="25" t="s">
        <v>31</v>
      </c>
      <c r="H35" s="24" t="n">
        <v>6.38155212419429</v>
      </c>
    </row>
    <row r="36" customFormat="false" ht="12.8" hidden="false" customHeight="false" outlineLevel="0" collapsed="false">
      <c r="B36" s="30" t="n">
        <f aca="false">-H34/(2*H33)</f>
        <v>3.12177112192367</v>
      </c>
      <c r="C36" s="23"/>
    </row>
    <row r="37" customFormat="false" ht="12.8" hidden="false" customHeight="false" outlineLevel="0" collapsed="false">
      <c r="B37" s="31" t="n">
        <f aca="false">B34-0.5*(((B34-B33)^2*(C34-C35)-(B34-B35)^2*(C34-C33)) / ((B34-B33)*(C34-C35)-(B34-B35)*(C34-C33)))</f>
        <v>3.12177112192222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2026-01-19T20:04:58Z</dcterms:created>
  <dc:creator/>
  <dc:description/>
  <dc:language>es-MX</dc:language>
  <cp:lastModifiedBy/>
  <dcterms:modified xsi:type="dcterms:W3CDTF">2026-02-24T11:51:54Z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